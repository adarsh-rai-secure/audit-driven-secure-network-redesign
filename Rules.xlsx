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s &amp; Estimates" sheetId="1" r:id="rId4"/>
    <sheet state="visible" name="Hosting and Connectivity" sheetId="2" r:id="rId5"/>
    <sheet state="visible" name="VLANs" sheetId="3" r:id="rId6"/>
    <sheet state="visible" name="DHCP Scope" sheetId="4" r:id="rId7"/>
    <sheet state="visible" name="NAT Table" sheetId="5" r:id="rId8"/>
    <sheet state="visible" name="FW - Inbound" sheetId="6" r:id="rId9"/>
    <sheet state="visible" name="FW - Outbound" sheetId="7" r:id="rId10"/>
    <sheet state="hidden" name="(remove)FW 2 - Internal Zoning" sheetId="8" r:id="rId11"/>
    <sheet state="visible" name="ACLs" sheetId="9" r:id="rId12"/>
    <sheet state="visible" name="OUs" sheetId="10" r:id="rId13"/>
    <sheet state="visible" name="GPOs" sheetId="11" r:id="rId14"/>
    <sheet state="visible" name="URL Filtering" sheetId="12" r:id="rId15"/>
    <sheet state="visible" name="Expertise" sheetId="13" r:id="rId16"/>
    <sheet state="visible" name="Policies" sheetId="14" r:id="rId17"/>
  </sheets>
  <definedNames/>
  <calcPr/>
  <extLst>
    <ext uri="GoogleSheetsCustomDataVersion2">
      <go:sheetsCustomData xmlns:go="http://customooxmlschemas.google.com/" r:id="rId18" roundtripDataChecksum="NZWfJj9HMqbC3K3v8GZyAsn+x3v7GmZDytmuSVAoD9s="/>
    </ext>
  </extLst>
</workbook>
</file>

<file path=xl/sharedStrings.xml><?xml version="1.0" encoding="utf-8"?>
<sst xmlns="http://schemas.openxmlformats.org/spreadsheetml/2006/main" count="944" uniqueCount="433">
  <si>
    <t>Item</t>
  </si>
  <si>
    <t>Model / Description</t>
  </si>
  <si>
    <t>Qty</t>
  </si>
  <si>
    <t>Unit Price</t>
  </si>
  <si>
    <t>Total Price</t>
  </si>
  <si>
    <t>Physical Location</t>
  </si>
  <si>
    <t>Cabling Type</t>
  </si>
  <si>
    <t>Notes</t>
  </si>
  <si>
    <t>Core Switch</t>
  </si>
  <si>
    <t>Cisco Business 350 Series 24-Port Gigabit Managed Switch (CBS350-24T-4G)</t>
  </si>
  <si>
    <t>Main Server Room (Central Rack)</t>
  </si>
  <si>
    <t>Cat6a for access switches; Fiber (optional)</t>
  </si>
  <si>
    <t>Layer 3 switch with VLAN support</t>
  </si>
  <si>
    <t>Access Switches</t>
  </si>
  <si>
    <t>Cisco Business 250 Series 48-Port Gigabit Smart Switch (CBS250-48T-4G)</t>
  </si>
  <si>
    <t>5 (+ 4 existing)</t>
  </si>
  <si>
    <t>Each department's network closet</t>
  </si>
  <si>
    <t>Cat6a to endpoints</t>
  </si>
  <si>
    <t>Provides PoE+ for devices like IP phones and cameras</t>
  </si>
  <si>
    <t>Next-Gen Firewall</t>
  </si>
  <si>
    <t>Palo Alto PA-220</t>
  </si>
  <si>
    <t>Between ISP modem and core switch</t>
  </si>
  <si>
    <t>Cat6a</t>
  </si>
  <si>
    <t>Advanced threat prevention features</t>
  </si>
  <si>
    <t>Access Control System</t>
  </si>
  <si>
    <t>HID Global Edge EVO Solo ESHR40-K</t>
  </si>
  <si>
    <t>Entrances to server room, DMZ, and IT admin area</t>
  </si>
  <si>
    <t>Cat6a for network connectivity</t>
  </si>
  <si>
    <t>Standalone IP-based access control</t>
  </si>
  <si>
    <t>Structured Cabling</t>
  </si>
  <si>
    <t>Cat6a Plenum-Rated Cable (1000ft)</t>
  </si>
  <si>
    <t>Throughout the facility</t>
  </si>
  <si>
    <t>N/A</t>
  </si>
  <si>
    <t>Supports up to 10Gbps over 100 meters</t>
  </si>
  <si>
    <t>Patch Panels and Accessories</t>
  </si>
  <si>
    <t>24-Port Cat6a Patch Panel</t>
  </si>
  <si>
    <t>Network closets and server room</t>
  </si>
  <si>
    <t>Organizes and manages cable connections</t>
  </si>
  <si>
    <t>Rack Mounts</t>
  </si>
  <si>
    <t>42U Server Rack Cabinet</t>
  </si>
  <si>
    <t>Server room and main network closet</t>
  </si>
  <si>
    <t>Houses core networking equipment</t>
  </si>
  <si>
    <t>Uninterruptible Power Supply (UPS)</t>
  </si>
  <si>
    <t>APC Smart-UPS 1500VA LCD 120V</t>
  </si>
  <si>
    <t>Provides backup power during outages</t>
  </si>
  <si>
    <t>Managed Security Service Provider (MSSP)</t>
  </si>
  <si>
    <t>GhostWatch MSSP Subscription</t>
  </si>
  <si>
    <t>12 months</t>
  </si>
  <si>
    <t>24/7 monitoring and incident response</t>
  </si>
  <si>
    <t>Warranty and Support</t>
  </si>
  <si>
    <t>Cisco Smart Net Total Care (3-Year)</t>
  </si>
  <si>
    <t>Covers all Cisco networking equipment</t>
  </si>
  <si>
    <t>Employee Security Training</t>
  </si>
  <si>
    <t>KnowBe4 Security Awareness Training</t>
  </si>
  <si>
    <t>180 users</t>
  </si>
  <si>
    <t>Annual subscription for phishing simulations and training</t>
  </si>
  <si>
    <t>Open-Source Software</t>
  </si>
  <si>
    <t>Wazuh (SIEM), Snort (IDS/IPS), Zabbix (Monitoring), osTicket (Ticketing), FreeRADIUS (Authentication), Modsecurity WAF</t>
  </si>
  <si>
    <t>Deployed on existing servers</t>
  </si>
  <si>
    <t>Reduces software licensing costs</t>
  </si>
  <si>
    <t>Total Costs</t>
  </si>
  <si>
    <t>Software</t>
  </si>
  <si>
    <t>Hosted On</t>
  </si>
  <si>
    <t>Connected To</t>
  </si>
  <si>
    <t>Purpose</t>
  </si>
  <si>
    <t>Wazuh (SIEM)</t>
  </si>
  <si>
    <t>Private FTP Server</t>
  </si>
  <si>
    <t>- Core Switch
- All servers (AD, Web, Mail, DNS, FTP)
- Access switches</t>
  </si>
  <si>
    <t>Collects logs and telemetry from all endpoints and servers for correlation + anomaly alerts</t>
  </si>
  <si>
    <t>Snort (IDS/IPS)</t>
  </si>
  <si>
    <t>Multi-Homed Firewall</t>
  </si>
  <si>
    <t>- Border Router
- Core Switch
- DMZ
- VLAN interfaces (mirror/span)</t>
  </si>
  <si>
    <t>Real-time packet inspection and threat detection at perimeter and DMZ</t>
  </si>
  <si>
    <t>Zabbix (Monitoring)</t>
  </si>
  <si>
    <t>Private DNS Server</t>
  </si>
  <si>
    <t>- DHCP Server
- FTP Server
- Core Switch
- All Access Switches</t>
  </si>
  <si>
    <t>Monitors performance/availability of network devices and servers</t>
  </si>
  <si>
    <t>osTicket (Helpdesk)</t>
  </si>
  <si>
    <t>DHCP Server</t>
  </si>
  <si>
    <t>- VLAN 10 only (Privileged Helpdesk users)
- Core Switch</t>
  </si>
  <si>
    <t>Web-based ticketing system accessible only to IT/helpdesk staff in VLAN 10</t>
  </si>
  <si>
    <t>FreeRADIUS (802.1X Auth)</t>
  </si>
  <si>
    <t>Mail Server (DMZ)</t>
  </si>
  <si>
    <t>- Core Switch
- All Access Switches
- Wireless APs (if added)
- VLAN 10</t>
  </si>
  <si>
    <t>Authenticates users via 802.1X before network access is granted</t>
  </si>
  <si>
    <t>ModSecurity (WAF)</t>
  </si>
  <si>
    <t>Web Server (DMZ)</t>
  </si>
  <si>
    <t>- Border Router
- NGFW (Palo Alto PA-220)
- Switch 10
- Public Internet</t>
  </si>
  <si>
    <t>Filters and blocks HTTP/S traffic using OWASP Top 10 rules; protects the web application from code injection, XSS, etc.</t>
  </si>
  <si>
    <t>VLAN</t>
  </si>
  <si>
    <t>Department</t>
  </si>
  <si>
    <t>Subnet</t>
  </si>
  <si>
    <t>Gateway IP</t>
  </si>
  <si>
    <t>IT (Systems)</t>
  </si>
  <si>
    <t>192.168.10.0/24</t>
  </si>
  <si>
    <t>192.168.10.1</t>
  </si>
  <si>
    <t>Accounting</t>
  </si>
  <si>
    <t>192.168.20.0/24</t>
  </si>
  <si>
    <t>192.168.20.1</t>
  </si>
  <si>
    <t>Marketing</t>
  </si>
  <si>
    <t>192.168.30.0/24</t>
  </si>
  <si>
    <t>192.168.30.1</t>
  </si>
  <si>
    <t>Sales</t>
  </si>
  <si>
    <t>192.168.40.0/24</t>
  </si>
  <si>
    <t>192.168.40.1</t>
  </si>
  <si>
    <t>Executive</t>
  </si>
  <si>
    <t>192.168.50.0/24</t>
  </si>
  <si>
    <t>192.168.50.1</t>
  </si>
  <si>
    <t>R&amp;D</t>
  </si>
  <si>
    <t>192.168.60.0/24</t>
  </si>
  <si>
    <t>192.168.60.1</t>
  </si>
  <si>
    <t>HR</t>
  </si>
  <si>
    <t>192.168.70.0/24</t>
  </si>
  <si>
    <t>192.168.70.1</t>
  </si>
  <si>
    <t>Guest Wi-Fi</t>
  </si>
  <si>
    <t>192.168.80.0/24</t>
  </si>
  <si>
    <t>192.168.80.1</t>
  </si>
  <si>
    <t>Network Management</t>
  </si>
  <si>
    <t>192.168.90.0/24</t>
  </si>
  <si>
    <t>192.168.90.1</t>
  </si>
  <si>
    <t>E-commerce DB</t>
  </si>
  <si>
    <t>192.168.110.0/24</t>
  </si>
  <si>
    <t>192.168.110.1</t>
  </si>
  <si>
    <t>Internal DNS/DHCP/DC, File, Wazuh, Zabbix</t>
  </si>
  <si>
    <t>192.168.120.0/24</t>
  </si>
  <si>
    <t>192.168.120.1</t>
  </si>
  <si>
    <t>Scope Name</t>
  </si>
  <si>
    <t>IP Range (Pool)</t>
  </si>
  <si>
    <t>Default Gateway</t>
  </si>
  <si>
    <t>DNS Server</t>
  </si>
  <si>
    <t>192.168.10.10 – .239</t>
  </si>
  <si>
    <t>192.168.120.10</t>
  </si>
  <si>
    <r>
      <rPr>
        <rFont val="Open Sans"/>
        <color theme="1"/>
      </rPr>
      <t xml:space="preserve">IT/Systems Admins; </t>
    </r>
    <r>
      <rPr>
        <rFont val="Open Sans"/>
        <b/>
        <color theme="1"/>
      </rPr>
      <t>.240–.250 reserved for Priviledged Admins (static IPs)</t>
    </r>
  </si>
  <si>
    <t>Accounting Scope</t>
  </si>
  <si>
    <t>192.168.20.10 – .200</t>
  </si>
  <si>
    <t>For Accounting devices</t>
  </si>
  <si>
    <t>Marketing Scope</t>
  </si>
  <si>
    <t>192.168.30.10 – .200</t>
  </si>
  <si>
    <t>For Marketing department</t>
  </si>
  <si>
    <t>Sales Scope</t>
  </si>
  <si>
    <t>192.168.40.10 – .200</t>
  </si>
  <si>
    <t>For Sales devices</t>
  </si>
  <si>
    <t>Executive Scope</t>
  </si>
  <si>
    <t>192.168.50.10 – .200</t>
  </si>
  <si>
    <t>For Executive staff</t>
  </si>
  <si>
    <t>R&amp;D Scope</t>
  </si>
  <si>
    <t>192.168.60.10 – .200</t>
  </si>
  <si>
    <t>For Engineering/R&amp;D devices</t>
  </si>
  <si>
    <t>192.168.70.10 – .200</t>
  </si>
  <si>
    <t>For HR devices</t>
  </si>
  <si>
    <t>Guest Wi-Fi Scope</t>
  </si>
  <si>
    <t>192.168.80.10 – .200</t>
  </si>
  <si>
    <t>For Guest WiFi</t>
  </si>
  <si>
    <t>Direction</t>
  </si>
  <si>
    <t>Source IP Range</t>
  </si>
  <si>
    <t>Destination (Public IP)</t>
  </si>
  <si>
    <t>Translated To</t>
  </si>
  <si>
    <t>Method</t>
  </si>
  <si>
    <t>Use Case</t>
  </si>
  <si>
    <t>Outbound</t>
  </si>
  <si>
    <t>192.168.0.0/16</t>
  </si>
  <si>
    <t>Any</t>
  </si>
  <si>
    <t>204.130.145.1</t>
  </si>
  <si>
    <t>PAT</t>
  </si>
  <si>
    <t>Internal devices &gt;&gt; Internet</t>
  </si>
  <si>
    <t>Inbound HTTP</t>
  </si>
  <si>
    <t>204.130.145.10</t>
  </si>
  <si>
    <t>192.168.100.10</t>
  </si>
  <si>
    <t>Static NAT</t>
  </si>
  <si>
    <t>Web server (E-commerce) (port 80, 443)</t>
  </si>
  <si>
    <t>Inbound SMTP</t>
  </si>
  <si>
    <t>204.130.145.20</t>
  </si>
  <si>
    <t>192.168.100.20</t>
  </si>
  <si>
    <t>Mail server (port 25, 465)</t>
  </si>
  <si>
    <t>Inbound DNS</t>
  </si>
  <si>
    <t>204.130.145.30</t>
  </si>
  <si>
    <t>192.168.100.30</t>
  </si>
  <si>
    <t>Public DNS (port 53)</t>
  </si>
  <si>
    <t>#</t>
  </si>
  <si>
    <t>Source</t>
  </si>
  <si>
    <t>Destination</t>
  </si>
  <si>
    <t>Protocol/Port</t>
  </si>
  <si>
    <t>Action</t>
  </si>
  <si>
    <t>RFC1918 (10.0.0.0/8, 172.16.0.0/12, 192.168.0.0/16) and Bogon IPs (0.0.0.0/8, 127.0.0.0/8, 169.254.0.0/16, 100.64.0.0/10, etc.)</t>
  </si>
  <si>
    <t>Deny</t>
  </si>
  <si>
    <t>Block invalid source IPs (anti-spoofing)</t>
  </si>
  <si>
    <t>TCP 80, 443</t>
  </si>
  <si>
    <t>Allow</t>
  </si>
  <si>
    <t>Web server access</t>
  </si>
  <si>
    <t>TCP 25, 465</t>
  </si>
  <si>
    <t>Mail server access</t>
  </si>
  <si>
    <t>UDP 53</t>
  </si>
  <si>
    <r>
      <rPr>
        <rFont val="Open Sans"/>
        <color theme="1"/>
        <sz val="11.0"/>
      </rPr>
      <t xml:space="preserve">DNS, resolving </t>
    </r>
    <r>
      <rPr>
        <rFont val="Open Sans"/>
        <i/>
        <color theme="1"/>
        <sz val="11.0"/>
      </rPr>
      <t>testcorp.com</t>
    </r>
  </si>
  <si>
    <t>192.168.110.10</t>
  </si>
  <si>
    <t>TCP 1433</t>
  </si>
  <si>
    <t>Web Server access to E-commerce DB (Suppose MSSQL)</t>
  </si>
  <si>
    <t>192.168.100.0/24</t>
  </si>
  <si>
    <t>Block all other DMZ to DB VLAN traffic</t>
  </si>
  <si>
    <t>Protect Internal network</t>
  </si>
  <si>
    <t>IDS/IPS</t>
  </si>
  <si>
    <t>Drop/Alert</t>
  </si>
  <si>
    <t>Block attacks</t>
  </si>
  <si>
    <t>Default rule</t>
  </si>
  <si>
    <t>192.168.110.0/24 (E-commerce DB VLAN)</t>
  </si>
  <si>
    <t>Block DB server outbound Internet access</t>
  </si>
  <si>
    <t>192.168.80.0/24 (Guest Wi-Fi)</t>
  </si>
  <si>
    <t>Guest isolation from Internal LAN</t>
  </si>
  <si>
    <t>Internal web browsing (HTTP/HTTPS)</t>
  </si>
  <si>
    <t>UDP 123</t>
  </si>
  <si>
    <t>Internal NTP (time sync)</t>
  </si>
  <si>
    <t>TCP 25, 465, 587</t>
  </si>
  <si>
    <t>Internal email outbound</t>
  </si>
  <si>
    <t>192.168.120.10 (Internal DNS)</t>
  </si>
  <si>
    <t>192.168.100.30 (Public DNS)</t>
  </si>
  <si>
    <t>UDP/TCP 53</t>
  </si>
  <si>
    <t>Internal DNS forwarding to Public DNS</t>
  </si>
  <si>
    <t>Block Internal DNS queries directly to Internet</t>
  </si>
  <si>
    <t>Default deny for all other outbound traffic</t>
  </si>
  <si>
    <t>TCP 443</t>
  </si>
  <si>
    <t>Access internal web apps</t>
  </si>
  <si>
    <t>TCP 465</t>
  </si>
  <si>
    <t>Allow secure mail submission</t>
  </si>
  <si>
    <t>Internet access</t>
  </si>
  <si>
    <t>Block DMZ &gt;&gt; LAN</t>
  </si>
  <si>
    <t>VLAN 10 – IT (Systems)</t>
  </si>
  <si>
    <t>192.168.10.240/28</t>
  </si>
  <si>
    <t>TCP 22, 443, SNMP</t>
  </si>
  <si>
    <t>Allow (Only Privileged Admins are allowed in Network Management)</t>
  </si>
  <si>
    <t>UDP 53, 67</t>
  </si>
  <si>
    <t>Allow (DNS/DHCP/DC access)</t>
  </si>
  <si>
    <t>192.168.120.20</t>
  </si>
  <si>
    <t>TCP 445</t>
  </si>
  <si>
    <t>Allow (File server access)</t>
  </si>
  <si>
    <t>192.168.120.30 (osTicket server)</t>
  </si>
  <si>
    <t>Allow (IT Helpdesk management)</t>
  </si>
  <si>
    <t>192.168.120.40 (Wazuh server)</t>
  </si>
  <si>
    <t>Allow (SIEM dashboard access)</t>
  </si>
  <si>
    <t>192.168.120.50 (Zabbix server)</t>
  </si>
  <si>
    <t>Allow (Network monitoring access)</t>
  </si>
  <si>
    <t>Internet</t>
  </si>
  <si>
    <t>Allow (Web browsing)</t>
  </si>
  <si>
    <t>VLAN 20 – Accounting</t>
  </si>
  <si>
    <t>192.168.120.30</t>
  </si>
  <si>
    <t>VLAN 30 – Marketing</t>
  </si>
  <si>
    <t>VLAN 40 – Sales</t>
  </si>
  <si>
    <t>VLAN 50 – Executive</t>
  </si>
  <si>
    <t>VLAN 60 – R&amp;D</t>
  </si>
  <si>
    <t>VLAN 70 – HR</t>
  </si>
  <si>
    <t>VLAN 80 – Guest Wi-Fi</t>
  </si>
  <si>
    <t>VLAN 90 – Network Management</t>
  </si>
  <si>
    <t>Allow (Only Priviledged IT IPs allowed to manage)</t>
  </si>
  <si>
    <t>Network Devices (Firewall, Switches)</t>
  </si>
  <si>
    <t>Allow (Internal device-to-device management)</t>
  </si>
  <si>
    <t>VLAN 110 – E-commerce DB</t>
  </si>
  <si>
    <t>Any Internal VLAN</t>
  </si>
  <si>
    <t>VLAN 120 – Internal Servers</t>
  </si>
  <si>
    <t>192.168.10.0/24 – 192.168.70.0/24</t>
  </si>
  <si>
    <t>192.168.120.10 (DNS/DHCP/DC)</t>
  </si>
  <si>
    <t>192.168.120.20 (File server)</t>
  </si>
  <si>
    <t>OU</t>
  </si>
  <si>
    <t>Privileged Admins and Helpdesk users</t>
  </si>
  <si>
    <t>Accounting users</t>
  </si>
  <si>
    <t>Marketing users</t>
  </si>
  <si>
    <t>Sales users</t>
  </si>
  <si>
    <t>Executives</t>
  </si>
  <si>
    <t>Executive users</t>
  </si>
  <si>
    <t>Research and Development users</t>
  </si>
  <si>
    <t>Human Resources users</t>
  </si>
  <si>
    <t>Servers</t>
  </si>
  <si>
    <t>All Internal Servers (DNS/DHCP/DC, File, Wazuh, Zabbix, E-commerce Database)</t>
  </si>
  <si>
    <t>Guests</t>
  </si>
  <si>
    <t>Guest users using WiFi</t>
  </si>
  <si>
    <t>GPO Name</t>
  </si>
  <si>
    <t>Linked OU</t>
  </si>
  <si>
    <t>Settings</t>
  </si>
  <si>
    <t>Default Domain Policy</t>
  </si>
  <si>
    <t>Entire Domain</t>
  </si>
  <si>
    <t>- Minimum password length (12 characters)
- Password complexity required
- Password expiration (90 days)
- Account lockout threshold (5 failed attempts)
- Lockout duration (15 minutes)
- Reset lockout counter after 15 minutes
- Kerberos ticket lifetime settings</t>
  </si>
  <si>
    <t>Enforce basic security settings across the entire domain (users and computers).</t>
  </si>
  <si>
    <t>IT Admins Security Policy</t>
  </si>
  <si>
    <t>OU: IT (Systems)</t>
  </si>
  <si>
    <t>- Allow local admin rights
- Allow installation of software
- Enforce Windows Firewall ON
- Require antivirus
- Enable management tools access (Remote Server Admin Tools)</t>
  </si>
  <si>
    <t>Allow IT admins full workstation/server control while maintaining basic endpoint protections.</t>
  </si>
  <si>
    <t>Workstation Security Policy</t>
  </si>
  <si>
    <t>OUs: Accounting, Marketing, Sales, R&amp;D, HR, Executives</t>
  </si>
  <si>
    <t>- Enforce Windows Firewall ON
- Require antivirus
- Disable USB storage
- Remove local admin rights
- Disable unnecessary services (Bluetooth, etc.)
- Restrict Control Panel access</t>
  </si>
  <si>
    <t>Harden normal employee computers, prevent lateral movement, ensure endpoint protection.</t>
  </si>
  <si>
    <t>Server Hardening Policy</t>
  </si>
  <si>
    <t>OU: Servers</t>
  </si>
  <si>
    <t>- Enforce Windows Firewall ON
- Require antivirus
- Deny interactive logon for normal users
- Only IT Admins can RDP into servers
- Disable guest account
- Require automatic updates enabled</t>
  </si>
  <si>
    <t>Secure internal DNS, DHCP, File, and DB servers to reduce attack surface.</t>
  </si>
  <si>
    <t>Guest Wi-Fi Device Policy</t>
  </si>
  <si>
    <t>OU: Guests</t>
  </si>
  <si>
    <t>- Block drive mappings
- Block access to internal servers
- Allow DNS, NTP, Internet only</t>
  </si>
  <si>
    <t>Protect internal resources from Guest Wi-Fi devices even if domain joined.</t>
  </si>
  <si>
    <t>url-whitelist</t>
  </si>
  <si>
    <t>sites</t>
  </si>
  <si>
    <t>site access</t>
  </si>
  <si>
    <t xml:space="preserve">user credential submission </t>
  </si>
  <si>
    <t>youtube.com/</t>
  </si>
  <si>
    <t>ALLOW</t>
  </si>
  <si>
    <t>BLOCK</t>
  </si>
  <si>
    <t>.youtube.com/</t>
  </si>
  <si>
    <t>reddit.com/</t>
  </si>
  <si>
    <t>ALERT</t>
  </si>
  <si>
    <t>.reddit.com/</t>
  </si>
  <si>
    <t xml:space="preserve">url-blacklist </t>
  </si>
  <si>
    <t>.ru</t>
  </si>
  <si>
    <t>thepiratebay.org</t>
  </si>
  <si>
    <t>1337x.to</t>
  </si>
  <si>
    <t>openload.co</t>
  </si>
  <si>
    <t>mega.nz</t>
  </si>
  <si>
    <t>torproject.org</t>
  </si>
  <si>
    <t>cryptojacking.com</t>
  </si>
  <si>
    <t>.onion</t>
  </si>
  <si>
    <t>xvideos.com</t>
  </si>
  <si>
    <t>pornhub.com</t>
  </si>
  <si>
    <t>https://docs.paloaltonetworks.com/advanced-url-filtering/administration/url-filtering-basics/url-categories</t>
  </si>
  <si>
    <t>catagories</t>
  </si>
  <si>
    <t>Abortion</t>
  </si>
  <si>
    <t>HR Justifcation</t>
  </si>
  <si>
    <t>Abused Drugs</t>
  </si>
  <si>
    <t>Adult</t>
  </si>
  <si>
    <t>Alcohol and Tobacco</t>
  </si>
  <si>
    <t>Artificial Intelligence</t>
  </si>
  <si>
    <t>AI Code Assistant</t>
  </si>
  <si>
    <t>AI Conversational Assistant</t>
  </si>
  <si>
    <t>AI Writing Assistant</t>
  </si>
  <si>
    <t>AI Media Service</t>
  </si>
  <si>
    <t>AI Data and Workflow Optimizer</t>
  </si>
  <si>
    <t>AI Platform Service</t>
  </si>
  <si>
    <t>AI Meeting Assistant</t>
  </si>
  <si>
    <t>AI Website Generator</t>
  </si>
  <si>
    <t>Auctions</t>
  </si>
  <si>
    <t>OVERRIDE</t>
  </si>
  <si>
    <t>Business and Economy</t>
  </si>
  <si>
    <t>Command and Control</t>
  </si>
  <si>
    <t>Compromised Website</t>
  </si>
  <si>
    <t>Computer and Internet Info</t>
  </si>
  <si>
    <t>Content Delivery Networks</t>
  </si>
  <si>
    <t>Copyright Infringement</t>
  </si>
  <si>
    <t>Cryptocurrency</t>
  </si>
  <si>
    <t>Dating</t>
  </si>
  <si>
    <t>Dynamic DNS</t>
  </si>
  <si>
    <t>Educational Institutions</t>
  </si>
  <si>
    <t>Encrypted DNS</t>
  </si>
  <si>
    <t>Entertainment and Arts</t>
  </si>
  <si>
    <t>Extremism</t>
  </si>
  <si>
    <t>Financial Services</t>
  </si>
  <si>
    <t>Gambling</t>
  </si>
  <si>
    <t>Games</t>
  </si>
  <si>
    <t>Grayware</t>
  </si>
  <si>
    <t>Hacking</t>
  </si>
  <si>
    <t>Health and Medicine</t>
  </si>
  <si>
    <t>Home and Garden</t>
  </si>
  <si>
    <t>Hunting and Fishing</t>
  </si>
  <si>
    <t>Insufficient Content</t>
  </si>
  <si>
    <t>Internet Communications and Telephony</t>
  </si>
  <si>
    <t>Internet Portals</t>
  </si>
  <si>
    <t>Job Search</t>
  </si>
  <si>
    <t>Legal</t>
  </si>
  <si>
    <t>Malware</t>
  </si>
  <si>
    <t>Marijuana</t>
  </si>
  <si>
    <t>Military</t>
  </si>
  <si>
    <t>Motor Vehicles</t>
  </si>
  <si>
    <t>Music</t>
  </si>
  <si>
    <t>Newly Registered Domains</t>
  </si>
  <si>
    <t>News</t>
  </si>
  <si>
    <t>Not-Resolved</t>
  </si>
  <si>
    <t>Nudity</t>
  </si>
  <si>
    <t>Online Storage and Backup</t>
  </si>
  <si>
    <t>Peer-to-peer</t>
  </si>
  <si>
    <t>Personal Sites and Blogs</t>
  </si>
  <si>
    <t>Philosophy and Political Advocacy</t>
  </si>
  <si>
    <t>Phishing</t>
  </si>
  <si>
    <t>Shopping</t>
  </si>
  <si>
    <t>Role / Expertise Area</t>
  </si>
  <si>
    <t>Responsibility / Tasks</t>
  </si>
  <si>
    <t>Network Engineer (L2/L3)</t>
  </si>
  <si>
    <t>- Design and configure VLANs across switches
- Implement inter-VLAN routing and trunking
- Apply ACLs for traffic control</t>
  </si>
  <si>
    <t>Firewall &amp; Security Appliance Specialist</t>
  </si>
  <si>
    <t>- Deploy and configure next-generation firewalls (NGFW)
- Define firewall zones, NAT rules, DMZ segmentation, and IDS/IPS</t>
  </si>
  <si>
    <t>Wireless Network Engineer</t>
  </si>
  <si>
    <t>- Deploy enterprise wireless solution (WPA3-Enterprise, RADIUS)
- Eliminate rogue APs and optimize signal coverage</t>
  </si>
  <si>
    <t>Network Access Control (NAC) Engineer</t>
  </si>
  <si>
    <t>- Implement 802.1X port-based access control
- Integrate NAC with RADIUS and Active Directory/LDAP</t>
  </si>
  <si>
    <t>System Administrator (Windows/Linux)</t>
  </si>
  <si>
    <t>- Patch and harden all servers
- Manage AD, DNS, DHCP scopes, and enforce Group Policies
- Decommission unsupported OSes</t>
  </si>
  <si>
    <t>Intrusion Detection Specialist</t>
  </si>
  <si>
    <t>- Set up and tune Suricata or equivalent IDS/IPS
- Configure alerting thresholds and log correlation</t>
  </si>
  <si>
    <t>Monitoring &amp; Logging Engineer</t>
  </si>
  <si>
    <t>- Deploy and maintain Zabbix, Graylog, or similar tools for SNMP, Syslog, and device health monitoring</t>
  </si>
  <si>
    <t>Cable Management / Infrastructure Technician</t>
  </si>
  <si>
    <t>- Implement structured cabling and physical port mapping
- Set up rack enclosures and UPS</t>
  </si>
  <si>
    <t>Category</t>
  </si>
  <si>
    <t>Policy Name</t>
  </si>
  <si>
    <t>Policy Description</t>
  </si>
  <si>
    <t>Layer 1 – Physical</t>
  </si>
  <si>
    <t>Physical Access Control Policy</t>
  </si>
  <si>
    <t>Network equipment must be housed in secure rooms, accessible only by authorized IT personnel with ID verification and access log auditing. Ports must be disabled when unused.</t>
  </si>
  <si>
    <t>Cabling and Rack Management Policy</t>
  </si>
  <si>
    <t>Cabling must follow structured guidelines, clearly labeled by department. Racks must have power redundancy (UPS) and proper cable management.</t>
  </si>
  <si>
    <t>Device Inventory and Port Mapping</t>
  </si>
  <si>
    <t>Switches/routers must maintain port maps with MAC addresses and department mappings. Devices should be tracked in real-time using SNMP-based monitoring.</t>
  </si>
  <si>
    <t>Layer 2 – Data Link</t>
  </si>
  <si>
    <t>Inter-VLAN Traffic Control Policy</t>
  </si>
  <si>
    <t>Inter-VLAN traffic is allowed only based on business need and enforced through ACLs.</t>
  </si>
  <si>
    <t>Port Security Policy</t>
  </si>
  <si>
    <t>Switch ports must allow a max of 2 MAC addresses per port. Violations trigger alerts and optional port shutdown.</t>
  </si>
  <si>
    <t>Enterprise Wireless Policy</t>
  </si>
  <si>
    <t>Wireless access must use WPA3-Enterprise with 802.1X and RADIUS authentication. Wireless SSIDs must be segmented and mapped to VLAN 80 for guest use.</t>
  </si>
  <si>
    <t>BYOD Policy – Personal Router Ban</t>
  </si>
  <si>
    <t>Personal wireless routers are prohibited. Unauthorized devices detected are blocked and logged, with violations resulting in disciplinary action.</t>
  </si>
  <si>
    <t>Layer 3 – Network</t>
  </si>
  <si>
    <t>Routing and ACLs Policy</t>
  </si>
  <si>
    <t>Inter-VLAN routing handled by Layer 3 switches/NGFW. ACL changes reviewed monthly and NAT mappings documented and reviewed quarterly.</t>
  </si>
  <si>
    <t>Remote Access Policy</t>
  </si>
  <si>
    <t>No direct remote access to internal resources. VPN services are disabled unless project-specific and justified.</t>
  </si>
  <si>
    <t>Software &amp; Patch</t>
  </si>
  <si>
    <t>Software and Patch Management Policy</t>
  </si>
  <si>
    <t>Critical patches applied within 24 hours, high severity in 3 days, routine in 7 days. Automated monthly vulnerability scanning.</t>
  </si>
  <si>
    <t>Application Whitelisting Policy</t>
  </si>
  <si>
    <t>Only approved applications allowed. All installations must be logged and reviewed.</t>
  </si>
  <si>
    <t>Employee Security</t>
  </si>
  <si>
    <t>Security Awareness Training Policy</t>
  </si>
  <si>
    <t>Mandatory training on phishing, password hygiene, data classification, and incident reporting upon hiring, annually, and after incidents.</t>
  </si>
  <si>
    <t>Acceptable Use Policy (AUP)</t>
  </si>
  <si>
    <t>Employees must not install unauthorized software, use personal devices, or bypass security controls. Corporate asset use must align with company guidelines.</t>
  </si>
  <si>
    <t>Incident Response &amp; Reporting Policy</t>
  </si>
  <si>
    <t>Security incidents must be reported to IT within 30 minutes. IT responds and documents incidents per the IR plan.</t>
  </si>
  <si>
    <t>Department-Specific</t>
  </si>
  <si>
    <t>Department-Specific Restrictions</t>
  </si>
  <si>
    <t>R&amp;D/Executive VLANs are isolated from marketing/sales. Sensitive databases require MFA and logging for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</si>
</sst>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3">
    <font>
      <sz val="11.0"/>
      <color theme="1"/>
      <name val="PMingLiu"/>
      <scheme val="minor"/>
    </font>
    <font>
      <b/>
      <color theme="1"/>
      <name val="Open Sans"/>
    </font>
    <font>
      <color theme="1"/>
      <name val="Open Sans"/>
    </font>
    <font>
      <b/>
      <sz val="11.0"/>
      <color theme="1"/>
      <name val="Open Sans"/>
    </font>
    <font>
      <sz val="11.0"/>
      <color theme="1"/>
      <name val="Open Sans"/>
    </font>
    <font>
      <color theme="1"/>
      <name val="PMingLiu"/>
      <scheme val="minor"/>
    </font>
    <font>
      <u/>
      <color rgb="FF0000FF"/>
    </font>
    <font>
      <u/>
      <color rgb="FF467886"/>
    </font>
    <font>
      <u/>
      <color rgb="FF0000FF"/>
    </font>
    <font>
      <b/>
      <sz val="11.0"/>
      <color rgb="FF000000"/>
      <name val="Open Sans"/>
    </font>
    <font>
      <sz val="11.0"/>
      <color rgb="FF000000"/>
      <name val="Open Sans"/>
    </font>
    <font>
      <sz val="10.0"/>
      <color rgb="FF000000"/>
      <name val="Open Sans"/>
    </font>
    <font>
      <sz val="10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2" fontId="1" numFmtId="165" xfId="0" applyAlignment="1" applyFont="1" applyNumberFormat="1">
      <alignment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1" fillId="4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ont="1">
      <alignment horizontal="left"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1" fillId="7" fontId="11" numFmtId="0" xfId="0" applyAlignment="1" applyBorder="1" applyFill="1" applyFont="1">
      <alignment horizontal="left" shrinkToFit="0" vertical="center" wrapText="1"/>
    </xf>
    <xf borderId="1" fillId="7" fontId="12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" TargetMode="External"/><Relationship Id="rId2" Type="http://schemas.openxmlformats.org/officeDocument/2006/relationships/hyperlink" Target="http://reddit.com/" TargetMode="External"/><Relationship Id="rId3" Type="http://schemas.openxmlformats.org/officeDocument/2006/relationships/hyperlink" Target="http://reddit.com/" TargetMode="External"/><Relationship Id="rId4" Type="http://schemas.openxmlformats.org/officeDocument/2006/relationships/hyperlink" Target="http://thepiratebay.org/" TargetMode="External"/><Relationship Id="rId11" Type="http://schemas.openxmlformats.org/officeDocument/2006/relationships/hyperlink" Target="https://docs.paloaltonetworks.com/advanced-url-filtering/administration/url-filtering-basics/url-categories" TargetMode="External"/><Relationship Id="rId10" Type="http://schemas.openxmlformats.org/officeDocument/2006/relationships/hyperlink" Target="http://xvideos.com/" TargetMode="External"/><Relationship Id="rId12" Type="http://schemas.openxmlformats.org/officeDocument/2006/relationships/drawing" Target="../drawings/drawing12.xml"/><Relationship Id="rId9" Type="http://schemas.openxmlformats.org/officeDocument/2006/relationships/hyperlink" Target="http://cryptojacking.com/" TargetMode="External"/><Relationship Id="rId5" Type="http://schemas.openxmlformats.org/officeDocument/2006/relationships/hyperlink" Target="http://1337x.to/" TargetMode="External"/><Relationship Id="rId6" Type="http://schemas.openxmlformats.org/officeDocument/2006/relationships/hyperlink" Target="http://openload.co/" TargetMode="External"/><Relationship Id="rId7" Type="http://schemas.openxmlformats.org/officeDocument/2006/relationships/hyperlink" Target="http://mega.nz/" TargetMode="External"/><Relationship Id="rId8" Type="http://schemas.openxmlformats.org/officeDocument/2006/relationships/hyperlink" Target="http://torproject.org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6.75"/>
    <col customWidth="1" min="3" max="3" width="8.25"/>
    <col customWidth="1" min="6" max="6" width="24.88"/>
    <col customWidth="1" min="8" max="8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3" t="s">
        <v>9</v>
      </c>
      <c r="C2" s="3">
        <v>2.0</v>
      </c>
      <c r="D2" s="4">
        <v>500.0</v>
      </c>
      <c r="E2" s="4">
        <v>1000.0</v>
      </c>
      <c r="F2" s="3" t="s">
        <v>10</v>
      </c>
      <c r="G2" s="3" t="s">
        <v>11</v>
      </c>
      <c r="H2" s="3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13</v>
      </c>
      <c r="B3" s="3" t="s">
        <v>14</v>
      </c>
      <c r="C3" s="3" t="s">
        <v>15</v>
      </c>
      <c r="D3" s="4">
        <v>400.0</v>
      </c>
      <c r="E3" s="4">
        <v>2000.0</v>
      </c>
      <c r="F3" s="3" t="s">
        <v>16</v>
      </c>
      <c r="G3" s="3" t="s">
        <v>17</v>
      </c>
      <c r="H3" s="3" t="s">
        <v>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19</v>
      </c>
      <c r="B4" s="3" t="s">
        <v>20</v>
      </c>
      <c r="C4" s="3">
        <v>1.0</v>
      </c>
      <c r="D4" s="5">
        <v>1364.98</v>
      </c>
      <c r="E4" s="5">
        <v>1364.98</v>
      </c>
      <c r="F4" s="3" t="s">
        <v>21</v>
      </c>
      <c r="G4" s="3" t="s">
        <v>22</v>
      </c>
      <c r="H4" s="3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24</v>
      </c>
      <c r="B5" s="3" t="s">
        <v>25</v>
      </c>
      <c r="C5" s="3">
        <v>3.0</v>
      </c>
      <c r="D5" s="4">
        <v>1200.0</v>
      </c>
      <c r="E5" s="4">
        <v>3600.0</v>
      </c>
      <c r="F5" s="3" t="s">
        <v>26</v>
      </c>
      <c r="G5" s="3" t="s">
        <v>27</v>
      </c>
      <c r="H5" s="3" t="s">
        <v>28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29</v>
      </c>
      <c r="B6" s="3" t="s">
        <v>30</v>
      </c>
      <c r="C6" s="3">
        <v>10.0</v>
      </c>
      <c r="D6" s="4">
        <v>200.0</v>
      </c>
      <c r="E6" s="4">
        <v>2000.0</v>
      </c>
      <c r="F6" s="3" t="s">
        <v>31</v>
      </c>
      <c r="G6" s="3" t="s">
        <v>32</v>
      </c>
      <c r="H6" s="3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34</v>
      </c>
      <c r="B7" s="3" t="s">
        <v>35</v>
      </c>
      <c r="C7" s="3">
        <v>10.0</v>
      </c>
      <c r="D7" s="4">
        <v>100.0</v>
      </c>
      <c r="E7" s="4">
        <v>1000.0</v>
      </c>
      <c r="F7" s="3" t="s">
        <v>36</v>
      </c>
      <c r="G7" s="3" t="s">
        <v>32</v>
      </c>
      <c r="H7" s="3" t="s">
        <v>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38</v>
      </c>
      <c r="B8" s="3" t="s">
        <v>39</v>
      </c>
      <c r="C8" s="3">
        <v>2.0</v>
      </c>
      <c r="D8" s="4">
        <v>1000.0</v>
      </c>
      <c r="E8" s="4">
        <v>2000.0</v>
      </c>
      <c r="F8" s="3" t="s">
        <v>40</v>
      </c>
      <c r="G8" s="3" t="s">
        <v>32</v>
      </c>
      <c r="H8" s="3" t="s">
        <v>41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42</v>
      </c>
      <c r="B9" s="3" t="s">
        <v>43</v>
      </c>
      <c r="C9" s="3">
        <v>3.0</v>
      </c>
      <c r="D9" s="4">
        <v>599.0</v>
      </c>
      <c r="E9" s="4">
        <f>C9*D9</f>
        <v>1797</v>
      </c>
      <c r="F9" s="3" t="s">
        <v>40</v>
      </c>
      <c r="G9" s="3" t="s">
        <v>32</v>
      </c>
      <c r="H9" s="3" t="s">
        <v>44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45</v>
      </c>
      <c r="B10" s="3" t="s">
        <v>46</v>
      </c>
      <c r="C10" s="3" t="s">
        <v>47</v>
      </c>
      <c r="D10" s="4">
        <v>1999.0</v>
      </c>
      <c r="E10" s="4">
        <v>23988.0</v>
      </c>
      <c r="F10" s="3" t="s">
        <v>32</v>
      </c>
      <c r="G10" s="3" t="s">
        <v>32</v>
      </c>
      <c r="H10" s="3" t="s">
        <v>48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49</v>
      </c>
      <c r="B11" s="3" t="s">
        <v>50</v>
      </c>
      <c r="C11" s="3">
        <v>1.0</v>
      </c>
      <c r="D11" s="4">
        <v>1000.0</v>
      </c>
      <c r="E11" s="4">
        <v>1000.0</v>
      </c>
      <c r="F11" s="3" t="s">
        <v>32</v>
      </c>
      <c r="G11" s="3" t="s">
        <v>32</v>
      </c>
      <c r="H11" s="3" t="s">
        <v>51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52</v>
      </c>
      <c r="B12" s="3" t="s">
        <v>53</v>
      </c>
      <c r="C12" s="3" t="s">
        <v>54</v>
      </c>
      <c r="D12" s="4">
        <v>20.0</v>
      </c>
      <c r="E12" s="4">
        <v>3600.0</v>
      </c>
      <c r="F12" s="3" t="s">
        <v>32</v>
      </c>
      <c r="G12" s="3" t="s">
        <v>32</v>
      </c>
      <c r="H12" s="3" t="s">
        <v>55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56</v>
      </c>
      <c r="B13" s="3" t="s">
        <v>57</v>
      </c>
      <c r="C13" s="3" t="s">
        <v>32</v>
      </c>
      <c r="D13" s="4">
        <v>0.0</v>
      </c>
      <c r="E13" s="4">
        <v>0.0</v>
      </c>
      <c r="F13" s="3" t="s">
        <v>58</v>
      </c>
      <c r="G13" s="3" t="s">
        <v>32</v>
      </c>
      <c r="H13" s="3" t="s">
        <v>59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 t="s">
        <v>60</v>
      </c>
      <c r="B14" s="7"/>
      <c r="C14" s="7"/>
      <c r="D14" s="7"/>
      <c r="E14" s="8">
        <f>SUMPRODUCT(E2:E13)</f>
        <v>43349.98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5"/>
    <col customWidth="1" min="4" max="4" width="28.25"/>
    <col customWidth="1" min="5" max="5" width="25.75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 t="s">
        <v>65</v>
      </c>
      <c r="B2" s="3" t="s">
        <v>66</v>
      </c>
      <c r="C2" s="3" t="s">
        <v>67</v>
      </c>
      <c r="D2" s="3" t="s">
        <v>68</v>
      </c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" t="s">
        <v>69</v>
      </c>
      <c r="B3" s="3" t="s">
        <v>70</v>
      </c>
      <c r="C3" s="3" t="s">
        <v>71</v>
      </c>
      <c r="D3" s="3" t="s">
        <v>72</v>
      </c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">
        <v>73</v>
      </c>
      <c r="B4" s="3" t="s">
        <v>74</v>
      </c>
      <c r="C4" s="3" t="s">
        <v>75</v>
      </c>
      <c r="D4" s="3" t="s">
        <v>76</v>
      </c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" t="s">
        <v>77</v>
      </c>
      <c r="B5" s="3" t="s">
        <v>78</v>
      </c>
      <c r="C5" s="3" t="s">
        <v>79</v>
      </c>
      <c r="D5" s="3" t="s">
        <v>80</v>
      </c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" t="s">
        <v>81</v>
      </c>
      <c r="B6" s="3" t="s">
        <v>82</v>
      </c>
      <c r="C6" s="3" t="s">
        <v>83</v>
      </c>
      <c r="D6" s="3" t="s">
        <v>84</v>
      </c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" t="s">
        <v>85</v>
      </c>
      <c r="B7" s="3" t="s">
        <v>86</v>
      </c>
      <c r="C7" s="3" t="s">
        <v>87</v>
      </c>
      <c r="D7" s="3" t="s">
        <v>88</v>
      </c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7.88"/>
    <col customWidth="1" min="3" max="3" width="15.75"/>
    <col customWidth="1" min="4" max="4" width="12.88"/>
    <col customWidth="1" min="5" max="26" width="16.0"/>
  </cols>
  <sheetData>
    <row r="1">
      <c r="A1" s="13" t="s">
        <v>89</v>
      </c>
      <c r="B1" s="13" t="s">
        <v>90</v>
      </c>
      <c r="C1" s="13" t="s">
        <v>91</v>
      </c>
      <c r="D1" s="13" t="s">
        <v>92</v>
      </c>
      <c r="E1" s="14"/>
      <c r="F1" s="15"/>
      <c r="G1" s="15"/>
      <c r="H1" s="15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>
        <v>10.0</v>
      </c>
      <c r="B2" s="17" t="s">
        <v>93</v>
      </c>
      <c r="C2" s="16" t="s">
        <v>94</v>
      </c>
      <c r="D2" s="16" t="s">
        <v>95</v>
      </c>
      <c r="E2" s="14"/>
      <c r="F2" s="16"/>
      <c r="G2" s="18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>
        <v>20.0</v>
      </c>
      <c r="B3" s="16" t="s">
        <v>96</v>
      </c>
      <c r="C3" s="16" t="s">
        <v>97</v>
      </c>
      <c r="D3" s="16" t="s">
        <v>98</v>
      </c>
      <c r="E3" s="14"/>
      <c r="F3" s="16"/>
      <c r="G3" s="18"/>
      <c r="H3" s="16"/>
      <c r="I3" s="16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>
        <v>30.0</v>
      </c>
      <c r="B4" s="16" t="s">
        <v>99</v>
      </c>
      <c r="C4" s="16" t="s">
        <v>100</v>
      </c>
      <c r="D4" s="16" t="s">
        <v>101</v>
      </c>
      <c r="E4" s="14"/>
      <c r="F4" s="16"/>
      <c r="G4" s="18"/>
      <c r="H4" s="16"/>
      <c r="I4" s="16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>
        <v>40.0</v>
      </c>
      <c r="B5" s="16" t="s">
        <v>102</v>
      </c>
      <c r="C5" s="16" t="s">
        <v>103</v>
      </c>
      <c r="D5" s="16" t="s">
        <v>104</v>
      </c>
      <c r="E5" s="14"/>
      <c r="F5" s="16"/>
      <c r="G5" s="18"/>
      <c r="H5" s="16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6">
        <v>50.0</v>
      </c>
      <c r="B6" s="16" t="s">
        <v>105</v>
      </c>
      <c r="C6" s="16" t="s">
        <v>106</v>
      </c>
      <c r="D6" s="16" t="s">
        <v>107</v>
      </c>
      <c r="E6" s="14"/>
      <c r="F6" s="16"/>
      <c r="G6" s="18"/>
      <c r="H6" s="16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6">
        <v>60.0</v>
      </c>
      <c r="B7" s="16" t="s">
        <v>108</v>
      </c>
      <c r="C7" s="16" t="s">
        <v>109</v>
      </c>
      <c r="D7" s="16" t="s">
        <v>110</v>
      </c>
      <c r="E7" s="14"/>
      <c r="F7" s="16"/>
      <c r="G7" s="16"/>
      <c r="H7" s="16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6">
        <v>70.0</v>
      </c>
      <c r="B8" s="17" t="s">
        <v>111</v>
      </c>
      <c r="C8" s="16" t="s">
        <v>112</v>
      </c>
      <c r="D8" s="16" t="s">
        <v>113</v>
      </c>
      <c r="E8" s="14"/>
      <c r="F8" s="16"/>
      <c r="G8" s="18"/>
      <c r="H8" s="16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6">
        <v>80.0</v>
      </c>
      <c r="B9" s="16" t="s">
        <v>114</v>
      </c>
      <c r="C9" s="16" t="s">
        <v>115</v>
      </c>
      <c r="D9" s="16" t="s">
        <v>116</v>
      </c>
      <c r="E9" s="14"/>
      <c r="F9" s="16"/>
      <c r="G9" s="18"/>
      <c r="H9" s="18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>
        <v>90.0</v>
      </c>
      <c r="B10" s="18" t="s">
        <v>117</v>
      </c>
      <c r="C10" s="18" t="s">
        <v>118</v>
      </c>
      <c r="D10" s="18" t="s">
        <v>119</v>
      </c>
      <c r="E10" s="14"/>
      <c r="F10" s="2"/>
      <c r="G10" s="2"/>
      <c r="H10" s="2"/>
      <c r="I10" s="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9">
        <v>110.0</v>
      </c>
      <c r="B11" s="19" t="s">
        <v>120</v>
      </c>
      <c r="C11" s="18" t="s">
        <v>121</v>
      </c>
      <c r="D11" s="19" t="s">
        <v>122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9">
        <v>120.0</v>
      </c>
      <c r="B12" s="18" t="s">
        <v>123</v>
      </c>
      <c r="C12" s="18" t="s">
        <v>124</v>
      </c>
      <c r="D12" s="19" t="s">
        <v>125</v>
      </c>
      <c r="E12" s="14"/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6.0"/>
    <col customWidth="1" min="3" max="3" width="15.75"/>
    <col customWidth="1" min="4" max="4" width="19.5"/>
    <col customWidth="1" min="5" max="5" width="16.38"/>
    <col customWidth="1" min="6" max="6" width="14.0"/>
    <col customWidth="1" min="7" max="7" width="28.63"/>
    <col customWidth="1" min="8" max="26" width="65.0"/>
  </cols>
  <sheetData>
    <row r="1">
      <c r="A1" s="13" t="s">
        <v>126</v>
      </c>
      <c r="B1" s="13" t="s">
        <v>89</v>
      </c>
      <c r="C1" s="13" t="s">
        <v>91</v>
      </c>
      <c r="D1" s="13" t="s">
        <v>127</v>
      </c>
      <c r="E1" s="13" t="s">
        <v>128</v>
      </c>
      <c r="F1" s="13" t="s">
        <v>129</v>
      </c>
      <c r="G1" s="13" t="s">
        <v>7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93</v>
      </c>
      <c r="B2" s="21">
        <v>10.0</v>
      </c>
      <c r="C2" s="21" t="s">
        <v>94</v>
      </c>
      <c r="D2" s="23" t="s">
        <v>130</v>
      </c>
      <c r="E2" s="21" t="s">
        <v>95</v>
      </c>
      <c r="F2" s="23" t="s">
        <v>131</v>
      </c>
      <c r="G2" s="3" t="s">
        <v>132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133</v>
      </c>
      <c r="B3" s="21">
        <v>20.0</v>
      </c>
      <c r="C3" s="21" t="s">
        <v>97</v>
      </c>
      <c r="D3" s="21" t="s">
        <v>134</v>
      </c>
      <c r="E3" s="21" t="s">
        <v>98</v>
      </c>
      <c r="F3" s="23" t="s">
        <v>131</v>
      </c>
      <c r="G3" s="21" t="s">
        <v>135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136</v>
      </c>
      <c r="B4" s="21">
        <v>30.0</v>
      </c>
      <c r="C4" s="21" t="s">
        <v>100</v>
      </c>
      <c r="D4" s="21" t="s">
        <v>137</v>
      </c>
      <c r="E4" s="21" t="s">
        <v>101</v>
      </c>
      <c r="F4" s="23" t="s">
        <v>131</v>
      </c>
      <c r="G4" s="21" t="s">
        <v>138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139</v>
      </c>
      <c r="B5" s="21">
        <v>40.0</v>
      </c>
      <c r="C5" s="21" t="s">
        <v>103</v>
      </c>
      <c r="D5" s="21" t="s">
        <v>140</v>
      </c>
      <c r="E5" s="21" t="s">
        <v>104</v>
      </c>
      <c r="F5" s="23" t="s">
        <v>131</v>
      </c>
      <c r="G5" s="21" t="s">
        <v>141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142</v>
      </c>
      <c r="B6" s="21">
        <v>50.0</v>
      </c>
      <c r="C6" s="21" t="s">
        <v>106</v>
      </c>
      <c r="D6" s="21" t="s">
        <v>143</v>
      </c>
      <c r="E6" s="21" t="s">
        <v>107</v>
      </c>
      <c r="F6" s="23" t="s">
        <v>131</v>
      </c>
      <c r="G6" s="21" t="s">
        <v>144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145</v>
      </c>
      <c r="B7" s="21">
        <v>60.0</v>
      </c>
      <c r="C7" s="21" t="s">
        <v>109</v>
      </c>
      <c r="D7" s="21" t="s">
        <v>146</v>
      </c>
      <c r="E7" s="21" t="s">
        <v>110</v>
      </c>
      <c r="F7" s="23" t="s">
        <v>131</v>
      </c>
      <c r="G7" s="21" t="s">
        <v>147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111</v>
      </c>
      <c r="B8" s="23">
        <v>70.0</v>
      </c>
      <c r="C8" s="23" t="s">
        <v>112</v>
      </c>
      <c r="D8" s="23" t="s">
        <v>148</v>
      </c>
      <c r="E8" s="23" t="s">
        <v>113</v>
      </c>
      <c r="F8" s="23" t="s">
        <v>131</v>
      </c>
      <c r="G8" s="23" t="s">
        <v>149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150</v>
      </c>
      <c r="B9" s="21">
        <v>80.0</v>
      </c>
      <c r="C9" s="21" t="s">
        <v>115</v>
      </c>
      <c r="D9" s="21" t="s">
        <v>151</v>
      </c>
      <c r="E9" s="21" t="s">
        <v>116</v>
      </c>
      <c r="F9" s="23" t="s">
        <v>131</v>
      </c>
      <c r="G9" s="23" t="s">
        <v>152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0"/>
      <c r="B10" s="21"/>
      <c r="C10" s="21"/>
      <c r="D10" s="21"/>
      <c r="E10" s="21"/>
      <c r="F10" s="23"/>
      <c r="G10" s="10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4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5"/>
      <c r="B14" s="15"/>
      <c r="C14" s="15"/>
      <c r="D14" s="15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6"/>
      <c r="B15" s="22"/>
      <c r="C15" s="16"/>
      <c r="D15" s="1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6"/>
      <c r="B16" s="16"/>
      <c r="C16" s="16"/>
      <c r="D16" s="16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6"/>
      <c r="B17" s="16"/>
      <c r="C17" s="16"/>
      <c r="D17" s="16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6"/>
      <c r="B18" s="16"/>
      <c r="C18" s="16"/>
      <c r="D18" s="16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6"/>
      <c r="B19" s="16"/>
      <c r="C19" s="16"/>
      <c r="D19" s="16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16"/>
      <c r="B20" s="16"/>
      <c r="C20" s="16"/>
      <c r="D20" s="16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16"/>
      <c r="B21" s="22"/>
      <c r="C21" s="16"/>
      <c r="D21" s="16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16"/>
      <c r="B22" s="16"/>
      <c r="C22" s="16"/>
      <c r="D22" s="16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18"/>
      <c r="B23" s="18"/>
      <c r="C23" s="18"/>
      <c r="D23" s="1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5"/>
      <c r="B24" s="25"/>
      <c r="C24" s="18"/>
      <c r="D24" s="25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5"/>
      <c r="B25" s="18"/>
      <c r="C25" s="18"/>
      <c r="D25" s="25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3.63"/>
    <col customWidth="1" min="3" max="4" width="14.0"/>
    <col customWidth="1" min="5" max="5" width="9.75"/>
    <col customWidth="1" min="6" max="6" width="53.88"/>
    <col customWidth="1" min="7" max="26" width="14.75"/>
  </cols>
  <sheetData>
    <row r="1">
      <c r="A1" s="13" t="s">
        <v>153</v>
      </c>
      <c r="B1" s="13" t="s">
        <v>154</v>
      </c>
      <c r="C1" s="13" t="s">
        <v>155</v>
      </c>
      <c r="D1" s="13" t="s">
        <v>156</v>
      </c>
      <c r="E1" s="13" t="s">
        <v>157</v>
      </c>
      <c r="F1" s="13" t="s">
        <v>158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1" t="s">
        <v>159</v>
      </c>
      <c r="B2" s="21" t="s">
        <v>160</v>
      </c>
      <c r="C2" s="21" t="s">
        <v>161</v>
      </c>
      <c r="D2" s="21" t="s">
        <v>162</v>
      </c>
      <c r="E2" s="21" t="s">
        <v>163</v>
      </c>
      <c r="F2" s="21" t="s">
        <v>164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165</v>
      </c>
      <c r="B3" s="21" t="s">
        <v>161</v>
      </c>
      <c r="C3" s="21" t="s">
        <v>166</v>
      </c>
      <c r="D3" s="21" t="s">
        <v>167</v>
      </c>
      <c r="E3" s="23" t="s">
        <v>168</v>
      </c>
      <c r="F3" s="23" t="s">
        <v>169</v>
      </c>
      <c r="G3" s="2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 t="s">
        <v>170</v>
      </c>
      <c r="B4" s="21" t="s">
        <v>161</v>
      </c>
      <c r="C4" s="21" t="s">
        <v>171</v>
      </c>
      <c r="D4" s="21" t="s">
        <v>172</v>
      </c>
      <c r="E4" s="23" t="s">
        <v>168</v>
      </c>
      <c r="F4" s="21" t="s">
        <v>173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0" t="s">
        <v>174</v>
      </c>
      <c r="B5" s="21" t="s">
        <v>161</v>
      </c>
      <c r="C5" s="23" t="s">
        <v>175</v>
      </c>
      <c r="D5" s="21" t="s">
        <v>176</v>
      </c>
      <c r="E5" s="23" t="s">
        <v>168</v>
      </c>
      <c r="F5" s="20" t="s">
        <v>177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2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1.63"/>
    <col customWidth="1" min="3" max="3" width="15.75"/>
    <col customWidth="1" min="4" max="4" width="13.38"/>
    <col customWidth="1" min="5" max="5" width="10.0"/>
    <col customWidth="1" min="6" max="6" width="48.63"/>
    <col customWidth="1" min="7" max="26" width="78.25"/>
  </cols>
  <sheetData>
    <row r="1">
      <c r="A1" s="13" t="s">
        <v>178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64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1">
        <v>1.0</v>
      </c>
      <c r="B2" s="3" t="s">
        <v>183</v>
      </c>
      <c r="C2" s="26" t="s">
        <v>161</v>
      </c>
      <c r="D2" s="26" t="s">
        <v>161</v>
      </c>
      <c r="E2" s="26" t="s">
        <v>184</v>
      </c>
      <c r="F2" s="26" t="s">
        <v>185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>
        <v>2.0</v>
      </c>
      <c r="B3" s="21" t="s">
        <v>161</v>
      </c>
      <c r="C3" s="21" t="s">
        <v>166</v>
      </c>
      <c r="D3" s="21" t="s">
        <v>186</v>
      </c>
      <c r="E3" s="21" t="s">
        <v>187</v>
      </c>
      <c r="F3" s="21" t="s">
        <v>188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>
        <v>3.0</v>
      </c>
      <c r="B4" s="21" t="s">
        <v>161</v>
      </c>
      <c r="C4" s="21" t="s">
        <v>171</v>
      </c>
      <c r="D4" s="21" t="s">
        <v>189</v>
      </c>
      <c r="E4" s="21" t="s">
        <v>187</v>
      </c>
      <c r="F4" s="21" t="s">
        <v>190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>
        <v>4.0</v>
      </c>
      <c r="B5" s="21" t="s">
        <v>161</v>
      </c>
      <c r="C5" s="21" t="s">
        <v>175</v>
      </c>
      <c r="D5" s="21" t="s">
        <v>191</v>
      </c>
      <c r="E5" s="21" t="s">
        <v>187</v>
      </c>
      <c r="F5" s="21" t="s">
        <v>192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1">
        <v>5.0</v>
      </c>
      <c r="B6" s="21" t="s">
        <v>167</v>
      </c>
      <c r="C6" s="21" t="s">
        <v>193</v>
      </c>
      <c r="D6" s="23" t="s">
        <v>194</v>
      </c>
      <c r="E6" s="21" t="s">
        <v>187</v>
      </c>
      <c r="F6" s="23" t="s">
        <v>195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6">
        <v>6.0</v>
      </c>
      <c r="B7" s="21" t="s">
        <v>196</v>
      </c>
      <c r="C7" s="21" t="s">
        <v>121</v>
      </c>
      <c r="D7" s="21" t="s">
        <v>161</v>
      </c>
      <c r="E7" s="21" t="s">
        <v>184</v>
      </c>
      <c r="F7" s="21" t="s">
        <v>197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6">
        <v>7.0</v>
      </c>
      <c r="B8" s="21" t="s">
        <v>161</v>
      </c>
      <c r="C8" s="21" t="s">
        <v>160</v>
      </c>
      <c r="D8" s="21" t="s">
        <v>161</v>
      </c>
      <c r="E8" s="21" t="s">
        <v>184</v>
      </c>
      <c r="F8" s="21" t="s">
        <v>198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6">
        <v>8.0</v>
      </c>
      <c r="B9" s="21" t="s">
        <v>161</v>
      </c>
      <c r="C9" s="21" t="s">
        <v>161</v>
      </c>
      <c r="D9" s="21" t="s">
        <v>199</v>
      </c>
      <c r="E9" s="21" t="s">
        <v>200</v>
      </c>
      <c r="F9" s="21" t="s">
        <v>201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1">
        <v>9.0</v>
      </c>
      <c r="B10" s="21" t="s">
        <v>161</v>
      </c>
      <c r="C10" s="21" t="s">
        <v>161</v>
      </c>
      <c r="D10" s="21" t="s">
        <v>161</v>
      </c>
      <c r="E10" s="21" t="s">
        <v>184</v>
      </c>
      <c r="F10" s="21" t="s">
        <v>202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2"/>
      <c r="C11" s="2"/>
      <c r="D11" s="2"/>
      <c r="E11" s="2"/>
      <c r="F11" s="2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2"/>
      <c r="C12" s="2"/>
      <c r="D12" s="2"/>
      <c r="E12" s="2"/>
      <c r="F12" s="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2"/>
      <c r="C13" s="2"/>
      <c r="D13" s="2"/>
      <c r="E13" s="2"/>
      <c r="F13" s="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2"/>
      <c r="C17" s="2"/>
      <c r="D17" s="2"/>
      <c r="E17" s="2"/>
      <c r="F17" s="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2"/>
      <c r="C18" s="2"/>
      <c r="D18" s="2"/>
      <c r="E18" s="2"/>
      <c r="F18" s="2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2"/>
      <c r="C19" s="2"/>
      <c r="D19" s="2"/>
      <c r="E19" s="2"/>
      <c r="F19" s="2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2"/>
      <c r="C20" s="2"/>
      <c r="D20" s="2"/>
      <c r="E20" s="2"/>
      <c r="F20" s="2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2"/>
      <c r="C21" s="2"/>
      <c r="D21" s="2"/>
      <c r="E21" s="2"/>
      <c r="F21" s="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6.0"/>
    <col customWidth="1" min="3" max="3" width="24.88"/>
    <col customWidth="1" min="4" max="4" width="15.0"/>
    <col customWidth="1" min="5" max="5" width="6.88"/>
    <col customWidth="1" min="6" max="6" width="40.13"/>
    <col customWidth="1" min="7" max="26" width="14.13"/>
  </cols>
  <sheetData>
    <row r="1">
      <c r="A1" s="13" t="s">
        <v>178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64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3">
        <v>1.0</v>
      </c>
      <c r="B2" s="26" t="s">
        <v>203</v>
      </c>
      <c r="C2" s="26" t="s">
        <v>161</v>
      </c>
      <c r="D2" s="26" t="s">
        <v>161</v>
      </c>
      <c r="E2" s="26" t="s">
        <v>184</v>
      </c>
      <c r="F2" s="20" t="s">
        <v>204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3">
        <v>2.0</v>
      </c>
      <c r="B3" s="26" t="s">
        <v>205</v>
      </c>
      <c r="C3" s="21" t="s">
        <v>160</v>
      </c>
      <c r="D3" s="26" t="s">
        <v>161</v>
      </c>
      <c r="E3" s="26" t="s">
        <v>184</v>
      </c>
      <c r="F3" s="26" t="s">
        <v>206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3">
        <v>3.0</v>
      </c>
      <c r="B4" s="26" t="s">
        <v>160</v>
      </c>
      <c r="C4" s="26" t="s">
        <v>161</v>
      </c>
      <c r="D4" s="26" t="s">
        <v>186</v>
      </c>
      <c r="E4" s="26" t="s">
        <v>187</v>
      </c>
      <c r="F4" s="26" t="s">
        <v>207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3">
        <v>4.0</v>
      </c>
      <c r="B5" s="26" t="s">
        <v>160</v>
      </c>
      <c r="C5" s="26" t="s">
        <v>161</v>
      </c>
      <c r="D5" s="26" t="s">
        <v>208</v>
      </c>
      <c r="E5" s="26" t="s">
        <v>187</v>
      </c>
      <c r="F5" s="26" t="s">
        <v>209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3">
        <v>5.0</v>
      </c>
      <c r="B6" s="26" t="s">
        <v>160</v>
      </c>
      <c r="C6" s="26" t="s">
        <v>161</v>
      </c>
      <c r="D6" s="20" t="s">
        <v>210</v>
      </c>
      <c r="E6" s="20" t="s">
        <v>187</v>
      </c>
      <c r="F6" s="20" t="s">
        <v>211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3">
        <v>6.0</v>
      </c>
      <c r="B7" s="26" t="s">
        <v>212</v>
      </c>
      <c r="C7" s="26" t="s">
        <v>213</v>
      </c>
      <c r="D7" s="26" t="s">
        <v>214</v>
      </c>
      <c r="E7" s="20" t="s">
        <v>187</v>
      </c>
      <c r="F7" s="26" t="s">
        <v>215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3">
        <v>7.0</v>
      </c>
      <c r="B8" s="26" t="s">
        <v>160</v>
      </c>
      <c r="C8" s="26" t="s">
        <v>161</v>
      </c>
      <c r="D8" s="26" t="s">
        <v>214</v>
      </c>
      <c r="E8" s="20" t="s">
        <v>184</v>
      </c>
      <c r="F8" s="26" t="s">
        <v>216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3">
        <v>8.0</v>
      </c>
      <c r="B9" s="20" t="s">
        <v>161</v>
      </c>
      <c r="C9" s="20" t="s">
        <v>161</v>
      </c>
      <c r="D9" s="20" t="s">
        <v>161</v>
      </c>
      <c r="E9" s="20" t="s">
        <v>184</v>
      </c>
      <c r="F9" s="20" t="s">
        <v>217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21"/>
      <c r="C10" s="21"/>
      <c r="D10" s="21"/>
      <c r="E10" s="21"/>
      <c r="F10" s="2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21"/>
      <c r="C11" s="21"/>
      <c r="D11" s="21"/>
      <c r="E11" s="21"/>
      <c r="F11" s="2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26"/>
      <c r="C12" s="26"/>
      <c r="D12" s="26"/>
      <c r="E12" s="26"/>
      <c r="F12" s="2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26"/>
      <c r="C13" s="26"/>
      <c r="D13" s="26"/>
      <c r="E13" s="26"/>
      <c r="F13" s="26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21"/>
      <c r="C16" s="21"/>
      <c r="D16" s="21"/>
      <c r="E16" s="21"/>
      <c r="F16" s="21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5.75"/>
    <col customWidth="1" min="3" max="3" width="14.0"/>
    <col customWidth="1" min="4" max="4" width="13.38"/>
    <col customWidth="1" min="5" max="5" width="6.88"/>
    <col customWidth="1" min="6" max="6" width="26.13"/>
    <col customWidth="1" min="7" max="26" width="28.0"/>
  </cols>
  <sheetData>
    <row r="1">
      <c r="A1" s="13" t="s">
        <v>178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64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>
        <v>1.0</v>
      </c>
      <c r="B2" s="14" t="s">
        <v>160</v>
      </c>
      <c r="C2" s="14" t="s">
        <v>167</v>
      </c>
      <c r="D2" s="14" t="s">
        <v>218</v>
      </c>
      <c r="E2" s="14" t="s">
        <v>187</v>
      </c>
      <c r="F2" s="14" t="s">
        <v>219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>
        <v>2.0</v>
      </c>
      <c r="B3" s="14" t="s">
        <v>160</v>
      </c>
      <c r="C3" s="14" t="s">
        <v>172</v>
      </c>
      <c r="D3" s="14" t="s">
        <v>220</v>
      </c>
      <c r="E3" s="14" t="s">
        <v>187</v>
      </c>
      <c r="F3" s="14" t="s">
        <v>221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>
        <v>3.0</v>
      </c>
      <c r="B4" s="14" t="s">
        <v>160</v>
      </c>
      <c r="C4" s="14" t="s">
        <v>161</v>
      </c>
      <c r="D4" s="14" t="s">
        <v>186</v>
      </c>
      <c r="E4" s="14" t="s">
        <v>187</v>
      </c>
      <c r="F4" s="14" t="s">
        <v>222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>
        <v>4.0</v>
      </c>
      <c r="B5" s="14" t="s">
        <v>196</v>
      </c>
      <c r="C5" s="14" t="s">
        <v>160</v>
      </c>
      <c r="D5" s="14" t="s">
        <v>161</v>
      </c>
      <c r="E5" s="14" t="s">
        <v>184</v>
      </c>
      <c r="F5" s="14" t="s">
        <v>223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>
        <v>5.0</v>
      </c>
      <c r="B6" s="14" t="s">
        <v>161</v>
      </c>
      <c r="C6" s="14" t="s">
        <v>161</v>
      </c>
      <c r="D6" s="14" t="s">
        <v>161</v>
      </c>
      <c r="E6" s="14" t="s">
        <v>184</v>
      </c>
      <c r="F6" s="21" t="s">
        <v>202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30.13"/>
    <col customWidth="1" min="3" max="3" width="31.75"/>
    <col customWidth="1" min="4" max="4" width="17.0"/>
    <col customWidth="1" min="5" max="5" width="42.63"/>
    <col customWidth="1" min="6" max="26" width="29.38"/>
  </cols>
  <sheetData>
    <row r="1">
      <c r="A1" s="27" t="s">
        <v>224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3" t="s">
        <v>178</v>
      </c>
      <c r="B2" s="13" t="s">
        <v>179</v>
      </c>
      <c r="C2" s="13" t="s">
        <v>180</v>
      </c>
      <c r="D2" s="13" t="s">
        <v>181</v>
      </c>
      <c r="E2" s="13" t="s">
        <v>182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>
        <v>1.0</v>
      </c>
      <c r="B3" s="23" t="s">
        <v>225</v>
      </c>
      <c r="C3" s="23" t="s">
        <v>118</v>
      </c>
      <c r="D3" s="23" t="s">
        <v>226</v>
      </c>
      <c r="E3" s="23" t="s">
        <v>227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>
        <v>2.0</v>
      </c>
      <c r="B4" s="23" t="s">
        <v>94</v>
      </c>
      <c r="C4" s="23" t="s">
        <v>131</v>
      </c>
      <c r="D4" s="23" t="s">
        <v>228</v>
      </c>
      <c r="E4" s="23" t="s">
        <v>229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>
        <v>3.0</v>
      </c>
      <c r="B5" s="21" t="s">
        <v>94</v>
      </c>
      <c r="C5" s="23" t="s">
        <v>230</v>
      </c>
      <c r="D5" s="21" t="s">
        <v>231</v>
      </c>
      <c r="E5" s="23" t="s">
        <v>232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>
        <v>4.0</v>
      </c>
      <c r="B6" s="21" t="s">
        <v>94</v>
      </c>
      <c r="C6" s="23" t="s">
        <v>233</v>
      </c>
      <c r="D6" s="23" t="s">
        <v>186</v>
      </c>
      <c r="E6" s="23" t="s">
        <v>234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>
        <v>5.0</v>
      </c>
      <c r="B7" s="21" t="s">
        <v>94</v>
      </c>
      <c r="C7" s="23" t="s">
        <v>235</v>
      </c>
      <c r="D7" s="23" t="s">
        <v>218</v>
      </c>
      <c r="E7" s="23" t="s">
        <v>236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>
        <v>6.0</v>
      </c>
      <c r="B8" s="21" t="s">
        <v>94</v>
      </c>
      <c r="C8" s="23" t="s">
        <v>237</v>
      </c>
      <c r="D8" s="23" t="s">
        <v>218</v>
      </c>
      <c r="E8" s="23" t="s">
        <v>238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>
        <v>7.0</v>
      </c>
      <c r="B9" s="23" t="s">
        <v>94</v>
      </c>
      <c r="C9" s="23" t="s">
        <v>239</v>
      </c>
      <c r="D9" s="23" t="s">
        <v>186</v>
      </c>
      <c r="E9" s="23" t="s">
        <v>240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>
        <v>8.0</v>
      </c>
      <c r="B10" s="23" t="s">
        <v>94</v>
      </c>
      <c r="C10" s="23" t="s">
        <v>161</v>
      </c>
      <c r="D10" s="23" t="s">
        <v>161</v>
      </c>
      <c r="E10" s="23" t="s">
        <v>184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0"/>
      <c r="B11" s="2"/>
      <c r="C11" s="2"/>
      <c r="D11" s="2"/>
      <c r="E11" s="2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0"/>
      <c r="B12" s="2"/>
      <c r="C12" s="2"/>
      <c r="D12" s="2"/>
      <c r="E12" s="2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7" t="s">
        <v>241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3" t="s">
        <v>178</v>
      </c>
      <c r="B14" s="13" t="s">
        <v>179</v>
      </c>
      <c r="C14" s="13" t="s">
        <v>180</v>
      </c>
      <c r="D14" s="13" t="s">
        <v>181</v>
      </c>
      <c r="E14" s="13" t="s">
        <v>182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>
        <v>1.0</v>
      </c>
      <c r="B15" s="32" t="s">
        <v>97</v>
      </c>
      <c r="C15" s="23" t="s">
        <v>131</v>
      </c>
      <c r="D15" s="23" t="s">
        <v>228</v>
      </c>
      <c r="E15" s="21" t="s">
        <v>187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>
        <v>2.0</v>
      </c>
      <c r="B16" s="32" t="s">
        <v>97</v>
      </c>
      <c r="C16" s="23" t="s">
        <v>230</v>
      </c>
      <c r="D16" s="21" t="s">
        <v>231</v>
      </c>
      <c r="E16" s="32" t="s">
        <v>187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>
        <v>3.0</v>
      </c>
      <c r="B17" s="32" t="s">
        <v>97</v>
      </c>
      <c r="C17" s="23" t="s">
        <v>242</v>
      </c>
      <c r="D17" s="32" t="s">
        <v>186</v>
      </c>
      <c r="E17" s="32" t="s">
        <v>187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>
        <v>4.0</v>
      </c>
      <c r="B18" s="32" t="s">
        <v>97</v>
      </c>
      <c r="C18" s="32" t="s">
        <v>239</v>
      </c>
      <c r="D18" s="32" t="s">
        <v>186</v>
      </c>
      <c r="E18" s="32" t="s">
        <v>187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>
        <v>5.0</v>
      </c>
      <c r="B19" s="32" t="s">
        <v>97</v>
      </c>
      <c r="C19" s="32" t="s">
        <v>161</v>
      </c>
      <c r="D19" s="32" t="s">
        <v>161</v>
      </c>
      <c r="E19" s="32" t="s">
        <v>184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0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0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7" t="s">
        <v>243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3" t="s">
        <v>178</v>
      </c>
      <c r="B23" s="13" t="s">
        <v>179</v>
      </c>
      <c r="C23" s="13" t="s">
        <v>180</v>
      </c>
      <c r="D23" s="13" t="s">
        <v>181</v>
      </c>
      <c r="E23" s="13" t="s">
        <v>182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>
        <v>1.0</v>
      </c>
      <c r="B24" s="32" t="s">
        <v>100</v>
      </c>
      <c r="C24" s="23" t="s">
        <v>131</v>
      </c>
      <c r="D24" s="23" t="s">
        <v>228</v>
      </c>
      <c r="E24" s="21" t="s">
        <v>187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>
        <v>2.0</v>
      </c>
      <c r="B25" s="32" t="s">
        <v>100</v>
      </c>
      <c r="C25" s="23" t="s">
        <v>230</v>
      </c>
      <c r="D25" s="21" t="s">
        <v>231</v>
      </c>
      <c r="E25" s="32" t="s">
        <v>187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>
        <v>3.0</v>
      </c>
      <c r="B26" s="32" t="s">
        <v>100</v>
      </c>
      <c r="C26" s="23" t="s">
        <v>242</v>
      </c>
      <c r="D26" s="32" t="s">
        <v>186</v>
      </c>
      <c r="E26" s="32" t="s">
        <v>187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>
        <v>4.0</v>
      </c>
      <c r="B27" s="32" t="s">
        <v>100</v>
      </c>
      <c r="C27" s="32" t="s">
        <v>239</v>
      </c>
      <c r="D27" s="32" t="s">
        <v>186</v>
      </c>
      <c r="E27" s="32" t="s">
        <v>187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>
        <v>5.0</v>
      </c>
      <c r="B28" s="32" t="s">
        <v>100</v>
      </c>
      <c r="C28" s="32" t="s">
        <v>161</v>
      </c>
      <c r="D28" s="32" t="s">
        <v>161</v>
      </c>
      <c r="E28" s="32" t="s">
        <v>184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0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0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7" t="s">
        <v>244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3" t="s">
        <v>178</v>
      </c>
      <c r="B32" s="13" t="s">
        <v>179</v>
      </c>
      <c r="C32" s="13" t="s">
        <v>180</v>
      </c>
      <c r="D32" s="13" t="s">
        <v>181</v>
      </c>
      <c r="E32" s="13" t="s">
        <v>182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>
        <v>1.0</v>
      </c>
      <c r="B33" s="32" t="s">
        <v>103</v>
      </c>
      <c r="C33" s="23" t="s">
        <v>131</v>
      </c>
      <c r="D33" s="23" t="s">
        <v>228</v>
      </c>
      <c r="E33" s="21" t="s">
        <v>187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>
        <v>2.0</v>
      </c>
      <c r="B34" s="32" t="s">
        <v>103</v>
      </c>
      <c r="C34" s="23" t="s">
        <v>230</v>
      </c>
      <c r="D34" s="21" t="s">
        <v>231</v>
      </c>
      <c r="E34" s="32" t="s">
        <v>187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1">
        <v>3.0</v>
      </c>
      <c r="B35" s="32" t="s">
        <v>103</v>
      </c>
      <c r="C35" s="23" t="s">
        <v>242</v>
      </c>
      <c r="D35" s="32" t="s">
        <v>186</v>
      </c>
      <c r="E35" s="32" t="s">
        <v>187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1">
        <v>4.0</v>
      </c>
      <c r="B36" s="32" t="s">
        <v>103</v>
      </c>
      <c r="C36" s="32" t="s">
        <v>239</v>
      </c>
      <c r="D36" s="32" t="s">
        <v>186</v>
      </c>
      <c r="E36" s="32" t="s">
        <v>187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1">
        <v>5.0</v>
      </c>
      <c r="B37" s="32" t="s">
        <v>103</v>
      </c>
      <c r="C37" s="32" t="s">
        <v>161</v>
      </c>
      <c r="D37" s="32" t="s">
        <v>161</v>
      </c>
      <c r="E37" s="32" t="s">
        <v>184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0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0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3" t="s">
        <v>245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3" t="s">
        <v>178</v>
      </c>
      <c r="B41" s="13" t="s">
        <v>179</v>
      </c>
      <c r="C41" s="13" t="s">
        <v>180</v>
      </c>
      <c r="D41" s="13" t="s">
        <v>181</v>
      </c>
      <c r="E41" s="13" t="s">
        <v>182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1">
        <v>1.0</v>
      </c>
      <c r="B42" s="32" t="s">
        <v>106</v>
      </c>
      <c r="C42" s="23" t="s">
        <v>131</v>
      </c>
      <c r="D42" s="23" t="s">
        <v>228</v>
      </c>
      <c r="E42" s="21" t="s">
        <v>187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1">
        <v>2.0</v>
      </c>
      <c r="B43" s="32" t="s">
        <v>106</v>
      </c>
      <c r="C43" s="23" t="s">
        <v>230</v>
      </c>
      <c r="D43" s="21" t="s">
        <v>231</v>
      </c>
      <c r="E43" s="32" t="s">
        <v>187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31">
        <v>3.0</v>
      </c>
      <c r="B44" s="32" t="s">
        <v>106</v>
      </c>
      <c r="C44" s="23" t="s">
        <v>242</v>
      </c>
      <c r="D44" s="32" t="s">
        <v>186</v>
      </c>
      <c r="E44" s="32" t="s">
        <v>187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31">
        <v>4.0</v>
      </c>
      <c r="B45" s="32" t="s">
        <v>106</v>
      </c>
      <c r="C45" s="32" t="s">
        <v>239</v>
      </c>
      <c r="D45" s="32" t="s">
        <v>186</v>
      </c>
      <c r="E45" s="32" t="s">
        <v>187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31">
        <v>5.0</v>
      </c>
      <c r="B46" s="32" t="s">
        <v>106</v>
      </c>
      <c r="C46" s="32" t="s">
        <v>161</v>
      </c>
      <c r="D46" s="32" t="s">
        <v>161</v>
      </c>
      <c r="E46" s="32" t="s">
        <v>184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3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3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33" t="s">
        <v>246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3" t="s">
        <v>178</v>
      </c>
      <c r="B50" s="13" t="s">
        <v>179</v>
      </c>
      <c r="C50" s="13" t="s">
        <v>180</v>
      </c>
      <c r="D50" s="13" t="s">
        <v>181</v>
      </c>
      <c r="E50" s="13" t="s">
        <v>182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1">
        <v>1.0</v>
      </c>
      <c r="B51" s="32" t="s">
        <v>109</v>
      </c>
      <c r="C51" s="23" t="s">
        <v>131</v>
      </c>
      <c r="D51" s="23" t="s">
        <v>228</v>
      </c>
      <c r="E51" s="21" t="s">
        <v>187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1">
        <v>2.0</v>
      </c>
      <c r="B52" s="32" t="s">
        <v>109</v>
      </c>
      <c r="C52" s="23" t="s">
        <v>230</v>
      </c>
      <c r="D52" s="21" t="s">
        <v>231</v>
      </c>
      <c r="E52" s="32" t="s">
        <v>187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1">
        <v>3.0</v>
      </c>
      <c r="B53" s="32" t="s">
        <v>109</v>
      </c>
      <c r="C53" s="23" t="s">
        <v>242</v>
      </c>
      <c r="D53" s="32" t="s">
        <v>186</v>
      </c>
      <c r="E53" s="32" t="s">
        <v>187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1">
        <v>4.0</v>
      </c>
      <c r="B54" s="32" t="s">
        <v>109</v>
      </c>
      <c r="C54" s="32" t="s">
        <v>239</v>
      </c>
      <c r="D54" s="32" t="s">
        <v>186</v>
      </c>
      <c r="E54" s="32" t="s">
        <v>187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1">
        <v>5.0</v>
      </c>
      <c r="B55" s="32" t="s">
        <v>109</v>
      </c>
      <c r="C55" s="32" t="s">
        <v>161</v>
      </c>
      <c r="D55" s="32" t="s">
        <v>161</v>
      </c>
      <c r="E55" s="32" t="s">
        <v>184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30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7" t="s">
        <v>247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3" t="s">
        <v>178</v>
      </c>
      <c r="B59" s="13" t="s">
        <v>179</v>
      </c>
      <c r="C59" s="13" t="s">
        <v>180</v>
      </c>
      <c r="D59" s="13" t="s">
        <v>181</v>
      </c>
      <c r="E59" s="13" t="s">
        <v>182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31">
        <v>1.0</v>
      </c>
      <c r="B60" s="32" t="s">
        <v>112</v>
      </c>
      <c r="C60" s="23" t="s">
        <v>131</v>
      </c>
      <c r="D60" s="23" t="s">
        <v>228</v>
      </c>
      <c r="E60" s="21" t="s">
        <v>187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31">
        <v>2.0</v>
      </c>
      <c r="B61" s="32" t="s">
        <v>112</v>
      </c>
      <c r="C61" s="23" t="s">
        <v>230</v>
      </c>
      <c r="D61" s="21" t="s">
        <v>231</v>
      </c>
      <c r="E61" s="32" t="s">
        <v>187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31">
        <v>3.0</v>
      </c>
      <c r="B62" s="32" t="s">
        <v>112</v>
      </c>
      <c r="C62" s="23" t="s">
        <v>242</v>
      </c>
      <c r="D62" s="32" t="s">
        <v>186</v>
      </c>
      <c r="E62" s="32" t="s">
        <v>187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31">
        <v>4.0</v>
      </c>
      <c r="B63" s="32" t="s">
        <v>112</v>
      </c>
      <c r="C63" s="32" t="s">
        <v>239</v>
      </c>
      <c r="D63" s="32" t="s">
        <v>186</v>
      </c>
      <c r="E63" s="32" t="s">
        <v>187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1">
        <v>5.0</v>
      </c>
      <c r="B64" s="32" t="s">
        <v>112</v>
      </c>
      <c r="C64" s="32" t="s">
        <v>161</v>
      </c>
      <c r="D64" s="32" t="s">
        <v>161</v>
      </c>
      <c r="E64" s="32" t="s">
        <v>184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0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0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3" t="s">
        <v>248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3" t="s">
        <v>178</v>
      </c>
      <c r="B68" s="13" t="s">
        <v>179</v>
      </c>
      <c r="C68" s="13" t="s">
        <v>180</v>
      </c>
      <c r="D68" s="13" t="s">
        <v>181</v>
      </c>
      <c r="E68" s="13" t="s">
        <v>182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34">
        <v>1.0</v>
      </c>
      <c r="B69" s="21" t="s">
        <v>115</v>
      </c>
      <c r="C69" s="21" t="s">
        <v>239</v>
      </c>
      <c r="D69" s="21" t="s">
        <v>186</v>
      </c>
      <c r="E69" s="21" t="s">
        <v>187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34">
        <v>2.0</v>
      </c>
      <c r="B70" s="21" t="s">
        <v>115</v>
      </c>
      <c r="C70" s="21" t="s">
        <v>160</v>
      </c>
      <c r="D70" s="21" t="s">
        <v>161</v>
      </c>
      <c r="E70" s="21" t="s">
        <v>184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30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30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5" t="s">
        <v>249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36" t="s">
        <v>178</v>
      </c>
      <c r="B74" s="36" t="s">
        <v>179</v>
      </c>
      <c r="C74" s="36" t="s">
        <v>180</v>
      </c>
      <c r="D74" s="36" t="s">
        <v>181</v>
      </c>
      <c r="E74" s="36" t="s">
        <v>182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31">
        <v>1.0</v>
      </c>
      <c r="B75" s="26" t="s">
        <v>225</v>
      </c>
      <c r="C75" s="26" t="s">
        <v>118</v>
      </c>
      <c r="D75" s="32" t="s">
        <v>226</v>
      </c>
      <c r="E75" s="26" t="s">
        <v>250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1">
        <v>2.0</v>
      </c>
      <c r="B76" s="32" t="s">
        <v>118</v>
      </c>
      <c r="C76" s="32" t="s">
        <v>251</v>
      </c>
      <c r="D76" s="32" t="s">
        <v>226</v>
      </c>
      <c r="E76" s="32" t="s">
        <v>252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31">
        <v>3.0</v>
      </c>
      <c r="B77" s="32" t="s">
        <v>118</v>
      </c>
      <c r="C77" s="32" t="s">
        <v>161</v>
      </c>
      <c r="D77" s="32" t="s">
        <v>161</v>
      </c>
      <c r="E77" s="32" t="s">
        <v>184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30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0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35" t="s">
        <v>253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36" t="s">
        <v>178</v>
      </c>
      <c r="B81" s="36" t="s">
        <v>179</v>
      </c>
      <c r="C81" s="36" t="s">
        <v>180</v>
      </c>
      <c r="D81" s="36" t="s">
        <v>181</v>
      </c>
      <c r="E81" s="36" t="s">
        <v>182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1">
        <v>1.0</v>
      </c>
      <c r="B82" s="32" t="s">
        <v>254</v>
      </c>
      <c r="C82" s="32" t="s">
        <v>121</v>
      </c>
      <c r="D82" s="32" t="s">
        <v>161</v>
      </c>
      <c r="E82" s="32" t="s">
        <v>184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6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36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5" t="s">
        <v>255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36" t="s">
        <v>178</v>
      </c>
      <c r="B86" s="36" t="s">
        <v>179</v>
      </c>
      <c r="C86" s="36" t="s">
        <v>180</v>
      </c>
      <c r="D86" s="36" t="s">
        <v>181</v>
      </c>
      <c r="E86" s="36" t="s">
        <v>182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31">
        <v>1.0</v>
      </c>
      <c r="B87" s="32" t="s">
        <v>256</v>
      </c>
      <c r="C87" s="32" t="s">
        <v>257</v>
      </c>
      <c r="D87" s="23" t="s">
        <v>228</v>
      </c>
      <c r="E87" s="32" t="s">
        <v>187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1">
        <v>2.0</v>
      </c>
      <c r="B88" s="32" t="s">
        <v>256</v>
      </c>
      <c r="C88" s="23" t="s">
        <v>258</v>
      </c>
      <c r="D88" s="21" t="s">
        <v>231</v>
      </c>
      <c r="E88" s="21" t="s">
        <v>187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1">
        <v>3.0</v>
      </c>
      <c r="B89" s="32" t="s">
        <v>256</v>
      </c>
      <c r="C89" s="23" t="s">
        <v>233</v>
      </c>
      <c r="D89" s="26" t="s">
        <v>186</v>
      </c>
      <c r="E89" s="21" t="s">
        <v>187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31">
        <v>4.0</v>
      </c>
      <c r="B90" s="26" t="s">
        <v>94</v>
      </c>
      <c r="C90" s="23" t="s">
        <v>235</v>
      </c>
      <c r="D90" s="37" t="s">
        <v>218</v>
      </c>
      <c r="E90" s="21" t="s">
        <v>187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31">
        <v>5.0</v>
      </c>
      <c r="B91" s="26" t="s">
        <v>94</v>
      </c>
      <c r="C91" s="23" t="s">
        <v>237</v>
      </c>
      <c r="D91" s="37" t="s">
        <v>218</v>
      </c>
      <c r="E91" s="21" t="s">
        <v>187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31">
        <v>6.0</v>
      </c>
      <c r="B92" s="26" t="s">
        <v>115</v>
      </c>
      <c r="C92" s="26" t="s">
        <v>124</v>
      </c>
      <c r="D92" s="37" t="s">
        <v>161</v>
      </c>
      <c r="E92" s="37" t="s">
        <v>184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31">
        <v>7.0</v>
      </c>
      <c r="B93" s="26" t="s">
        <v>124</v>
      </c>
      <c r="C93" s="32" t="s">
        <v>161</v>
      </c>
      <c r="D93" s="32" t="s">
        <v>161</v>
      </c>
      <c r="E93" s="37" t="s">
        <v>184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30"/>
      <c r="B94" s="32"/>
      <c r="C94" s="32"/>
      <c r="D94" s="32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0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0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30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30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30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0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30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30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30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30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0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30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30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30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30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30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30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30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30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30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30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0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0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0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0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30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30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30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0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0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30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0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30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30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30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30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30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30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30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30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30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30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0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0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0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30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0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30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0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30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30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0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0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30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0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0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30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30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30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30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30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30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30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30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0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0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0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30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30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30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30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0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30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30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0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0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0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30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30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30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30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30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30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30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30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30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30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30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30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0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0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0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30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30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30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0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30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30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30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0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0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30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30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30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30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30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30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30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0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30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0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30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30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30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30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30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30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30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30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0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30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30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30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30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30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30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30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30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30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0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30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30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30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30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30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30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0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30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30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30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0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30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30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0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0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30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30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30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30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30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0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30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0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30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30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30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30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0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30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30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0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0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0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0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0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0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0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0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0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0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0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0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0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0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0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0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0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0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0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0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0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0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0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0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0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0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0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0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0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0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0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0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0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0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0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0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0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0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0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0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0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0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0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0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0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0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0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0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0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0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0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0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0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0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0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0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0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0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0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0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0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0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0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0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0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0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0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0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0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0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0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0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0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0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0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0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0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0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0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0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0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0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0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0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0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0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0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0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0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0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0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0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0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0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0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0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0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0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0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0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0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0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0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0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0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0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0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0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0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0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0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0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0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0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0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0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0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0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0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0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0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0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0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0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0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0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0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0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0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0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0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0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0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0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0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0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0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0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0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0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0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0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0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0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0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0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0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0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0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0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0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0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0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0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0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0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0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0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0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0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0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0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0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0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0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0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0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0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0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0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0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0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0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0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0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0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0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0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0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0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0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0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0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0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0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0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0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0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0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0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0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0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0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0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0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0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0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0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0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0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0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0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0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0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0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0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0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0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0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0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0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0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0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0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0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0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0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0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0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0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0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0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0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0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0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0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0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0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0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0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0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0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0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0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0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0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0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0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0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0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0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0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0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0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0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0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0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0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0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0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0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0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0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0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0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0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0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0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0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0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0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0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0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0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0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0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0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0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0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0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0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0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0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0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0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0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0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0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0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0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0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0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0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0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0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0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0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0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0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0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0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0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0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0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0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0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0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0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0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0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0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0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0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0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0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0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0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0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0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0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0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0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0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0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0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0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0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0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0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0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0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0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0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0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0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0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0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0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0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0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0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0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0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0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0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0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0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0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0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0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0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0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0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0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0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0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0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0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0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0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0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0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0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0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0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0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0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0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0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0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0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0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0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0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0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0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0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0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0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0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0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0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0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0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0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0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0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0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0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0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0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0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0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0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0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0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0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0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0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0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0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0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0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0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0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0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0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0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0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0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0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0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0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0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0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0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0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0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0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0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0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0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0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0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0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0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0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0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0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0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0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0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0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0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0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0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0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0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0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0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0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0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0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0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0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0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0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0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0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0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0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0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0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0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0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0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0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0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0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0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0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0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0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0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0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0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0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0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0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0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0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0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0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0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0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0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0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0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0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0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0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0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0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0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0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0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0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0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0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0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0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0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0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0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0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0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0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0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0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0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0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0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0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0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0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0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0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0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0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0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0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0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0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0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0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0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0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0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0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0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0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0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0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0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0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0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0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0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0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0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0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0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0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0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0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0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0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0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0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0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0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0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0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0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0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0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0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0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0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0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0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0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0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0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0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0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0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0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0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0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0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0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0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0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0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0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0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0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0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0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0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0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0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0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0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0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0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0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0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0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0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0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0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0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0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0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0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0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0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0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0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0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0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0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0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0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0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0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0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0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0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0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0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0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0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0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0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0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0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0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0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0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0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0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0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0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0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0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0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0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0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0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0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0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0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0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0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0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0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0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0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0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0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0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0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0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0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0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0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0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0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0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0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0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0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0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0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0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0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0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0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0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0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0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0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0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0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0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0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0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0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0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0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0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0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0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0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0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0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0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0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0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0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0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0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0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0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0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0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0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0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0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0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0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0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0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0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0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0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0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0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0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0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0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0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0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0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0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0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0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0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0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0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0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0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0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0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0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0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0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0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0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0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0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0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0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0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0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0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0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0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0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0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0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0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0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0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0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0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0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0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0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0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0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0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0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0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0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0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0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0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0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0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0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0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0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0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0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0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0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0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30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30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30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30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30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30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30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30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>
      <c r="A1004" s="30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>
      <c r="A1005" s="30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>
      <c r="A1006" s="30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>
      <c r="A1007" s="30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>
      <c r="A1008" s="30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>
      <c r="A1009" s="30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>
      <c r="A1010" s="30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>
      <c r="A1011" s="30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>
      <c r="A1012" s="30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>
      <c r="A1013" s="30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>
      <c r="A1014" s="30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>
      <c r="A1015" s="30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68.5"/>
    <col customWidth="1" min="3" max="26" width="12.88"/>
  </cols>
  <sheetData>
    <row r="1">
      <c r="A1" s="38" t="s">
        <v>259</v>
      </c>
      <c r="B1" s="38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6" t="s">
        <v>93</v>
      </c>
      <c r="B2" s="26" t="s">
        <v>260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6" t="s">
        <v>96</v>
      </c>
      <c r="B3" s="26" t="s">
        <v>261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6" t="s">
        <v>99</v>
      </c>
      <c r="B4" s="26" t="s">
        <v>262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6" t="s">
        <v>102</v>
      </c>
      <c r="B5" s="26" t="s">
        <v>263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6" t="s">
        <v>264</v>
      </c>
      <c r="B6" s="26" t="s">
        <v>265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108</v>
      </c>
      <c r="B7" s="26" t="s">
        <v>266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111</v>
      </c>
      <c r="B8" s="26" t="s">
        <v>267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6" t="s">
        <v>268</v>
      </c>
      <c r="B9" s="26" t="s">
        <v>269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6" t="s">
        <v>270</v>
      </c>
      <c r="B10" s="26" t="s">
        <v>271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8.25"/>
    <col customWidth="1" min="3" max="3" width="55.63"/>
    <col customWidth="1" min="4" max="4" width="34.13"/>
  </cols>
  <sheetData>
    <row r="1">
      <c r="A1" s="38" t="s">
        <v>272</v>
      </c>
      <c r="B1" s="38" t="s">
        <v>273</v>
      </c>
      <c r="C1" s="38" t="s">
        <v>274</v>
      </c>
      <c r="D1" s="38" t="s">
        <v>64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6" t="s">
        <v>275</v>
      </c>
      <c r="B2" s="26" t="s">
        <v>276</v>
      </c>
      <c r="C2" s="26" t="s">
        <v>277</v>
      </c>
      <c r="D2" s="3" t="s">
        <v>278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6" t="s">
        <v>279</v>
      </c>
      <c r="B3" s="26" t="s">
        <v>280</v>
      </c>
      <c r="C3" s="26" t="s">
        <v>281</v>
      </c>
      <c r="D3" s="3" t="s">
        <v>282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6" t="s">
        <v>283</v>
      </c>
      <c r="B4" s="3" t="s">
        <v>284</v>
      </c>
      <c r="C4" s="26" t="s">
        <v>285</v>
      </c>
      <c r="D4" s="3" t="s">
        <v>286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6" t="s">
        <v>287</v>
      </c>
      <c r="B5" s="26" t="s">
        <v>288</v>
      </c>
      <c r="C5" s="26" t="s">
        <v>289</v>
      </c>
      <c r="D5" s="3" t="s">
        <v>290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6" t="s">
        <v>291</v>
      </c>
      <c r="B6" s="26" t="s">
        <v>292</v>
      </c>
      <c r="C6" s="26" t="s">
        <v>293</v>
      </c>
      <c r="D6" s="3" t="s">
        <v>294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/>
      <c r="B7" s="26"/>
      <c r="C7" s="2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/>
      <c r="B8" s="26"/>
      <c r="C8" s="2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6"/>
      <c r="B9" s="26"/>
      <c r="C9" s="2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5.25"/>
  </cols>
  <sheetData>
    <row r="1">
      <c r="A1" s="39"/>
    </row>
    <row r="2">
      <c r="A2" s="39" t="s">
        <v>295</v>
      </c>
      <c r="B2" s="39" t="s">
        <v>296</v>
      </c>
      <c r="C2" s="39" t="s">
        <v>297</v>
      </c>
      <c r="D2" s="39" t="s">
        <v>298</v>
      </c>
    </row>
    <row r="3">
      <c r="B3" s="40" t="s">
        <v>299</v>
      </c>
      <c r="C3" s="39" t="s">
        <v>300</v>
      </c>
      <c r="D3" s="39" t="s">
        <v>301</v>
      </c>
    </row>
    <row r="4">
      <c r="B4" s="39" t="s">
        <v>302</v>
      </c>
      <c r="C4" s="39" t="s">
        <v>300</v>
      </c>
      <c r="D4" s="39" t="s">
        <v>301</v>
      </c>
    </row>
    <row r="5">
      <c r="B5" s="40" t="s">
        <v>303</v>
      </c>
      <c r="C5" s="39" t="s">
        <v>304</v>
      </c>
      <c r="D5" s="39" t="s">
        <v>301</v>
      </c>
    </row>
    <row r="6">
      <c r="A6" s="39"/>
      <c r="B6" s="41" t="s">
        <v>305</v>
      </c>
      <c r="C6" s="39" t="s">
        <v>304</v>
      </c>
      <c r="D6" s="39" t="s">
        <v>301</v>
      </c>
    </row>
    <row r="8">
      <c r="A8" s="39" t="s">
        <v>306</v>
      </c>
      <c r="B8" s="39" t="s">
        <v>296</v>
      </c>
    </row>
    <row r="9">
      <c r="B9" s="39" t="s">
        <v>307</v>
      </c>
      <c r="C9" s="39" t="s">
        <v>301</v>
      </c>
      <c r="D9" s="39" t="s">
        <v>301</v>
      </c>
    </row>
    <row r="10">
      <c r="B10" s="40" t="s">
        <v>308</v>
      </c>
      <c r="C10" s="39" t="s">
        <v>301</v>
      </c>
      <c r="D10" s="39" t="s">
        <v>301</v>
      </c>
    </row>
    <row r="11">
      <c r="B11" s="40" t="s">
        <v>309</v>
      </c>
      <c r="C11" s="39" t="s">
        <v>301</v>
      </c>
      <c r="D11" s="39" t="s">
        <v>301</v>
      </c>
    </row>
    <row r="12">
      <c r="B12" s="40" t="s">
        <v>310</v>
      </c>
      <c r="C12" s="39" t="s">
        <v>301</v>
      </c>
      <c r="D12" s="39" t="s">
        <v>301</v>
      </c>
    </row>
    <row r="13">
      <c r="B13" s="40" t="s">
        <v>311</v>
      </c>
      <c r="C13" s="39" t="s">
        <v>301</v>
      </c>
      <c r="D13" s="39" t="s">
        <v>301</v>
      </c>
    </row>
    <row r="14">
      <c r="B14" s="40" t="s">
        <v>312</v>
      </c>
      <c r="C14" s="39" t="s">
        <v>301</v>
      </c>
      <c r="D14" s="39" t="s">
        <v>301</v>
      </c>
    </row>
    <row r="15">
      <c r="B15" s="40" t="s">
        <v>313</v>
      </c>
      <c r="C15" s="39" t="s">
        <v>301</v>
      </c>
      <c r="D15" s="39" t="s">
        <v>301</v>
      </c>
    </row>
    <row r="16">
      <c r="B16" s="39" t="s">
        <v>314</v>
      </c>
      <c r="C16" s="39" t="s">
        <v>301</v>
      </c>
      <c r="D16" s="39" t="s">
        <v>301</v>
      </c>
    </row>
    <row r="17">
      <c r="B17" s="40" t="s">
        <v>315</v>
      </c>
      <c r="C17" s="39" t="s">
        <v>301</v>
      </c>
      <c r="D17" s="39" t="s">
        <v>301</v>
      </c>
    </row>
    <row r="18">
      <c r="B18" s="42" t="s">
        <v>316</v>
      </c>
      <c r="C18" s="39" t="s">
        <v>301</v>
      </c>
      <c r="D18" s="39" t="s">
        <v>301</v>
      </c>
    </row>
    <row r="20">
      <c r="A20" s="43" t="s">
        <v>317</v>
      </c>
    </row>
    <row r="21">
      <c r="A21" s="39" t="s">
        <v>318</v>
      </c>
    </row>
    <row r="22">
      <c r="A22" s="39" t="s">
        <v>319</v>
      </c>
      <c r="C22" s="39" t="s">
        <v>301</v>
      </c>
      <c r="D22" s="39" t="s">
        <v>301</v>
      </c>
      <c r="E22" s="39" t="s">
        <v>320</v>
      </c>
    </row>
    <row r="23">
      <c r="A23" s="39" t="s">
        <v>321</v>
      </c>
      <c r="C23" s="39" t="s">
        <v>301</v>
      </c>
      <c r="D23" s="39" t="s">
        <v>301</v>
      </c>
      <c r="E23" s="39" t="s">
        <v>320</v>
      </c>
    </row>
    <row r="24">
      <c r="A24" s="39" t="s">
        <v>322</v>
      </c>
      <c r="C24" s="39" t="s">
        <v>301</v>
      </c>
      <c r="D24" s="39" t="s">
        <v>301</v>
      </c>
      <c r="E24" s="39" t="s">
        <v>320</v>
      </c>
    </row>
    <row r="25">
      <c r="A25" s="39" t="s">
        <v>323</v>
      </c>
      <c r="C25" s="39" t="s">
        <v>301</v>
      </c>
      <c r="D25" s="39" t="s">
        <v>301</v>
      </c>
      <c r="E25" s="39" t="s">
        <v>320</v>
      </c>
    </row>
    <row r="26">
      <c r="A26" s="39" t="s">
        <v>324</v>
      </c>
      <c r="C26" s="39" t="s">
        <v>300</v>
      </c>
      <c r="D26" s="39" t="s">
        <v>304</v>
      </c>
    </row>
    <row r="27" hidden="1">
      <c r="A27" s="39" t="s">
        <v>325</v>
      </c>
      <c r="C27" s="39" t="s">
        <v>301</v>
      </c>
      <c r="D27" s="39" t="s">
        <v>301</v>
      </c>
    </row>
    <row r="28" hidden="1">
      <c r="A28" s="39" t="s">
        <v>326</v>
      </c>
      <c r="C28" s="39" t="s">
        <v>301</v>
      </c>
      <c r="D28" s="39" t="s">
        <v>301</v>
      </c>
    </row>
    <row r="29" hidden="1">
      <c r="A29" s="39" t="s">
        <v>327</v>
      </c>
      <c r="C29" s="39" t="s">
        <v>301</v>
      </c>
      <c r="D29" s="39" t="s">
        <v>301</v>
      </c>
    </row>
    <row r="30" hidden="1">
      <c r="A30" s="39" t="s">
        <v>328</v>
      </c>
      <c r="C30" s="39" t="s">
        <v>301</v>
      </c>
      <c r="D30" s="39" t="s">
        <v>301</v>
      </c>
    </row>
    <row r="31" hidden="1">
      <c r="A31" s="39" t="s">
        <v>329</v>
      </c>
      <c r="C31" s="39" t="s">
        <v>301</v>
      </c>
      <c r="D31" s="39" t="s">
        <v>301</v>
      </c>
    </row>
    <row r="32" hidden="1">
      <c r="A32" s="39" t="s">
        <v>330</v>
      </c>
      <c r="C32" s="39" t="s">
        <v>301</v>
      </c>
      <c r="D32" s="39" t="s">
        <v>301</v>
      </c>
    </row>
    <row r="33" hidden="1">
      <c r="A33" s="39" t="s">
        <v>331</v>
      </c>
      <c r="C33" s="39" t="s">
        <v>301</v>
      </c>
      <c r="D33" s="39" t="s">
        <v>301</v>
      </c>
    </row>
    <row r="34">
      <c r="A34" s="39" t="s">
        <v>332</v>
      </c>
      <c r="C34" s="39" t="s">
        <v>301</v>
      </c>
      <c r="D34" s="39" t="s">
        <v>301</v>
      </c>
    </row>
    <row r="35">
      <c r="A35" s="39" t="s">
        <v>333</v>
      </c>
      <c r="C35" s="39" t="s">
        <v>301</v>
      </c>
      <c r="D35" s="39" t="s">
        <v>334</v>
      </c>
    </row>
    <row r="36">
      <c r="A36" s="39" t="s">
        <v>335</v>
      </c>
      <c r="C36" s="39" t="s">
        <v>300</v>
      </c>
      <c r="D36" s="39" t="s">
        <v>300</v>
      </c>
    </row>
    <row r="37">
      <c r="A37" s="39" t="s">
        <v>336</v>
      </c>
      <c r="C37" s="39" t="s">
        <v>301</v>
      </c>
      <c r="D37" s="39" t="s">
        <v>301</v>
      </c>
    </row>
    <row r="38">
      <c r="A38" s="39" t="s">
        <v>337</v>
      </c>
      <c r="C38" s="39" t="s">
        <v>301</v>
      </c>
      <c r="D38" s="39" t="s">
        <v>301</v>
      </c>
    </row>
    <row r="39">
      <c r="A39" s="39" t="s">
        <v>338</v>
      </c>
      <c r="C39" s="39" t="s">
        <v>300</v>
      </c>
      <c r="D39" s="39" t="s">
        <v>300</v>
      </c>
    </row>
    <row r="40">
      <c r="A40" s="39" t="s">
        <v>339</v>
      </c>
      <c r="C40" s="39" t="s">
        <v>300</v>
      </c>
      <c r="D40" s="39" t="s">
        <v>300</v>
      </c>
    </row>
    <row r="41">
      <c r="A41" s="39" t="s">
        <v>340</v>
      </c>
      <c r="C41" s="39" t="s">
        <v>301</v>
      </c>
      <c r="D41" s="39" t="s">
        <v>301</v>
      </c>
    </row>
    <row r="42">
      <c r="A42" s="39" t="s">
        <v>341</v>
      </c>
      <c r="C42" s="39" t="s">
        <v>301</v>
      </c>
      <c r="D42" s="39" t="s">
        <v>301</v>
      </c>
    </row>
    <row r="43">
      <c r="A43" s="39" t="s">
        <v>342</v>
      </c>
      <c r="C43" s="39" t="s">
        <v>301</v>
      </c>
      <c r="D43" s="39" t="s">
        <v>301</v>
      </c>
      <c r="E43" s="39" t="s">
        <v>320</v>
      </c>
    </row>
    <row r="44" hidden="1">
      <c r="A44" s="39" t="s">
        <v>343</v>
      </c>
      <c r="C44" s="39" t="s">
        <v>301</v>
      </c>
      <c r="D44" s="39" t="s">
        <v>301</v>
      </c>
    </row>
    <row r="45">
      <c r="A45" s="39" t="s">
        <v>344</v>
      </c>
      <c r="C45" s="39" t="s">
        <v>300</v>
      </c>
      <c r="D45" s="39" t="s">
        <v>300</v>
      </c>
    </row>
    <row r="46" hidden="1">
      <c r="A46" s="39" t="s">
        <v>345</v>
      </c>
      <c r="C46" s="39" t="s">
        <v>301</v>
      </c>
      <c r="D46" s="39" t="s">
        <v>301</v>
      </c>
    </row>
    <row r="47">
      <c r="A47" s="39" t="s">
        <v>346</v>
      </c>
      <c r="C47" s="39" t="s">
        <v>301</v>
      </c>
      <c r="D47" s="39" t="s">
        <v>301</v>
      </c>
    </row>
    <row r="48">
      <c r="A48" s="39" t="s">
        <v>347</v>
      </c>
      <c r="C48" s="39" t="s">
        <v>301</v>
      </c>
      <c r="D48" s="39" t="s">
        <v>301</v>
      </c>
      <c r="E48" s="39" t="s">
        <v>320</v>
      </c>
    </row>
    <row r="49">
      <c r="A49" s="39" t="s">
        <v>348</v>
      </c>
      <c r="C49" s="39" t="s">
        <v>304</v>
      </c>
      <c r="D49" s="39" t="s">
        <v>300</v>
      </c>
    </row>
    <row r="50">
      <c r="A50" s="39" t="s">
        <v>349</v>
      </c>
      <c r="C50" s="39" t="s">
        <v>301</v>
      </c>
      <c r="D50" s="39" t="s">
        <v>301</v>
      </c>
    </row>
    <row r="51">
      <c r="A51" s="39" t="s">
        <v>350</v>
      </c>
      <c r="C51" s="39" t="s">
        <v>301</v>
      </c>
      <c r="D51" s="39" t="s">
        <v>301</v>
      </c>
    </row>
    <row r="52">
      <c r="A52" s="39" t="s">
        <v>351</v>
      </c>
      <c r="C52" s="39" t="s">
        <v>301</v>
      </c>
      <c r="D52" s="39" t="s">
        <v>301</v>
      </c>
    </row>
    <row r="53">
      <c r="A53" s="39" t="s">
        <v>352</v>
      </c>
      <c r="C53" s="39" t="s">
        <v>301</v>
      </c>
      <c r="D53" s="39" t="s">
        <v>301</v>
      </c>
    </row>
    <row r="54">
      <c r="A54" s="39" t="s">
        <v>353</v>
      </c>
      <c r="C54" s="39" t="s">
        <v>300</v>
      </c>
      <c r="D54" s="39" t="s">
        <v>301</v>
      </c>
    </row>
    <row r="55">
      <c r="A55" s="39" t="s">
        <v>354</v>
      </c>
      <c r="C55" s="39" t="s">
        <v>300</v>
      </c>
      <c r="D55" s="39" t="s">
        <v>301</v>
      </c>
    </row>
    <row r="56">
      <c r="A56" s="39" t="s">
        <v>355</v>
      </c>
      <c r="C56" s="39" t="s">
        <v>301</v>
      </c>
      <c r="D56" s="39" t="s">
        <v>301</v>
      </c>
    </row>
    <row r="57">
      <c r="A57" s="39" t="s">
        <v>356</v>
      </c>
      <c r="C57" s="39" t="s">
        <v>301</v>
      </c>
      <c r="D57" s="39" t="s">
        <v>301</v>
      </c>
    </row>
    <row r="58">
      <c r="A58" s="39" t="s">
        <v>357</v>
      </c>
      <c r="C58" s="39" t="s">
        <v>300</v>
      </c>
      <c r="D58" s="39" t="s">
        <v>301</v>
      </c>
    </row>
    <row r="59">
      <c r="A59" s="39" t="s">
        <v>358</v>
      </c>
      <c r="C59" s="39" t="s">
        <v>300</v>
      </c>
      <c r="D59" s="39" t="s">
        <v>300</v>
      </c>
    </row>
    <row r="60">
      <c r="A60" s="39" t="s">
        <v>359</v>
      </c>
      <c r="C60" s="39" t="s">
        <v>301</v>
      </c>
      <c r="D60" s="39" t="s">
        <v>301</v>
      </c>
      <c r="E60" s="39" t="s">
        <v>320</v>
      </c>
    </row>
    <row r="61">
      <c r="A61" s="39" t="s">
        <v>360</v>
      </c>
      <c r="C61" s="39" t="s">
        <v>304</v>
      </c>
      <c r="D61" s="39" t="s">
        <v>300</v>
      </c>
    </row>
    <row r="62">
      <c r="A62" s="39" t="s">
        <v>361</v>
      </c>
      <c r="C62" s="39" t="s">
        <v>301</v>
      </c>
      <c r="D62" s="39" t="s">
        <v>301</v>
      </c>
    </row>
    <row r="63">
      <c r="A63" s="39" t="s">
        <v>362</v>
      </c>
      <c r="C63" s="39" t="s">
        <v>301</v>
      </c>
      <c r="D63" s="39" t="s">
        <v>301</v>
      </c>
    </row>
    <row r="64">
      <c r="A64" s="39" t="s">
        <v>363</v>
      </c>
      <c r="C64" s="39" t="s">
        <v>301</v>
      </c>
      <c r="D64" s="39" t="s">
        <v>301</v>
      </c>
    </row>
    <row r="65">
      <c r="A65" s="39" t="s">
        <v>364</v>
      </c>
      <c r="C65" s="39" t="s">
        <v>301</v>
      </c>
      <c r="D65" s="39" t="s">
        <v>301</v>
      </c>
    </row>
    <row r="66">
      <c r="A66" s="39" t="s">
        <v>365</v>
      </c>
      <c r="C66" s="39" t="s">
        <v>301</v>
      </c>
      <c r="D66" s="39" t="s">
        <v>301</v>
      </c>
    </row>
    <row r="67">
      <c r="A67" s="39" t="s">
        <v>366</v>
      </c>
      <c r="C67" s="39" t="s">
        <v>301</v>
      </c>
      <c r="D67" s="39" t="s">
        <v>301</v>
      </c>
    </row>
    <row r="68">
      <c r="A68" s="39" t="s">
        <v>367</v>
      </c>
      <c r="C68" s="39" t="s">
        <v>301</v>
      </c>
      <c r="D68" s="39" t="s">
        <v>301</v>
      </c>
    </row>
    <row r="69">
      <c r="A69" s="39" t="s">
        <v>368</v>
      </c>
      <c r="C69" s="39" t="s">
        <v>301</v>
      </c>
      <c r="D69" s="39" t="s">
        <v>301</v>
      </c>
    </row>
    <row r="70">
      <c r="A70" s="39" t="s">
        <v>369</v>
      </c>
      <c r="C70" s="39" t="s">
        <v>301</v>
      </c>
      <c r="D70" s="39" t="s">
        <v>301</v>
      </c>
    </row>
    <row r="71">
      <c r="A71" s="39" t="s">
        <v>370</v>
      </c>
      <c r="C71" s="39" t="s">
        <v>301</v>
      </c>
      <c r="D71" s="39" t="s">
        <v>301</v>
      </c>
    </row>
    <row r="72">
      <c r="A72" s="39" t="s">
        <v>371</v>
      </c>
      <c r="C72" s="39" t="s">
        <v>301</v>
      </c>
      <c r="D72" s="39" t="s">
        <v>301</v>
      </c>
    </row>
    <row r="73">
      <c r="A73" s="39" t="s">
        <v>372</v>
      </c>
      <c r="C73" s="39" t="s">
        <v>301</v>
      </c>
      <c r="D73" s="39" t="s">
        <v>301</v>
      </c>
    </row>
    <row r="74">
      <c r="A74" s="39" t="s">
        <v>373</v>
      </c>
      <c r="C74" s="39" t="s">
        <v>301</v>
      </c>
      <c r="D74" s="39" t="s">
        <v>301</v>
      </c>
    </row>
    <row r="75">
      <c r="A75" s="39" t="s">
        <v>374</v>
      </c>
      <c r="C75" s="39" t="s">
        <v>301</v>
      </c>
      <c r="D75" s="39" t="s">
        <v>301</v>
      </c>
    </row>
    <row r="76">
      <c r="A76" s="39" t="s">
        <v>375</v>
      </c>
      <c r="C76" s="39" t="s">
        <v>304</v>
      </c>
      <c r="D76" s="39" t="s">
        <v>300</v>
      </c>
    </row>
  </sheetData>
  <hyperlinks>
    <hyperlink r:id="rId1" ref="B3"/>
    <hyperlink r:id="rId2" ref="B5"/>
    <hyperlink r:id="rId3" ref="B6"/>
    <hyperlink r:id="rId4" ref="B10"/>
    <hyperlink r:id="rId5" ref="B11"/>
    <hyperlink r:id="rId6" ref="B12"/>
    <hyperlink r:id="rId7" ref="B13"/>
    <hyperlink r:id="rId8" ref="B14"/>
    <hyperlink r:id="rId9" ref="B15"/>
    <hyperlink r:id="rId10" ref="B17"/>
    <hyperlink r:id="rId11" ref="A20"/>
  </hyperlinks>
  <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57.38"/>
  </cols>
  <sheetData>
    <row r="1">
      <c r="A1" s="44" t="s">
        <v>376</v>
      </c>
      <c r="B1" s="44" t="s">
        <v>377</v>
      </c>
    </row>
    <row r="2">
      <c r="A2" s="45" t="s">
        <v>378</v>
      </c>
      <c r="B2" s="45" t="s">
        <v>379</v>
      </c>
    </row>
    <row r="3">
      <c r="A3" s="45" t="s">
        <v>380</v>
      </c>
      <c r="B3" s="45" t="s">
        <v>381</v>
      </c>
    </row>
    <row r="4">
      <c r="A4" s="45" t="s">
        <v>382</v>
      </c>
      <c r="B4" s="45" t="s">
        <v>383</v>
      </c>
    </row>
    <row r="5">
      <c r="A5" s="45" t="s">
        <v>384</v>
      </c>
      <c r="B5" s="45" t="s">
        <v>385</v>
      </c>
    </row>
    <row r="6">
      <c r="A6" s="45" t="s">
        <v>386</v>
      </c>
      <c r="B6" s="45" t="s">
        <v>387</v>
      </c>
    </row>
    <row r="7">
      <c r="A7" s="45" t="s">
        <v>388</v>
      </c>
      <c r="B7" s="45" t="s">
        <v>389</v>
      </c>
    </row>
    <row r="8">
      <c r="A8" s="45" t="s">
        <v>390</v>
      </c>
      <c r="B8" s="45" t="s">
        <v>391</v>
      </c>
    </row>
    <row r="9">
      <c r="A9" s="45" t="s">
        <v>392</v>
      </c>
      <c r="B9" s="45" t="s">
        <v>393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20.25"/>
    <col customWidth="1" min="3" max="3" width="77.75"/>
  </cols>
  <sheetData>
    <row r="1">
      <c r="A1" s="46" t="s">
        <v>394</v>
      </c>
      <c r="B1" s="47" t="s">
        <v>395</v>
      </c>
      <c r="C1" s="47" t="s">
        <v>396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8" t="s">
        <v>397</v>
      </c>
      <c r="B2" s="48" t="s">
        <v>398</v>
      </c>
      <c r="C2" s="48" t="s">
        <v>399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9"/>
      <c r="B3" s="48" t="s">
        <v>400</v>
      </c>
      <c r="C3" s="48" t="s">
        <v>401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49"/>
      <c r="B4" s="48" t="s">
        <v>402</v>
      </c>
      <c r="C4" s="48" t="s">
        <v>403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50" t="s">
        <v>404</v>
      </c>
      <c r="B5" s="50" t="s">
        <v>405</v>
      </c>
      <c r="C5" s="50" t="s">
        <v>406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51"/>
      <c r="B6" s="50" t="s">
        <v>407</v>
      </c>
      <c r="C6" s="50" t="s">
        <v>408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1"/>
      <c r="B7" s="50" t="s">
        <v>409</v>
      </c>
      <c r="C7" s="50" t="s">
        <v>410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51"/>
      <c r="B8" s="50" t="s">
        <v>411</v>
      </c>
      <c r="C8" s="50" t="s">
        <v>412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52" t="s">
        <v>413</v>
      </c>
      <c r="B9" s="52" t="s">
        <v>414</v>
      </c>
      <c r="C9" s="52" t="s">
        <v>415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3"/>
      <c r="B10" s="52" t="s">
        <v>416</v>
      </c>
      <c r="C10" s="52" t="s">
        <v>417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54" t="s">
        <v>418</v>
      </c>
      <c r="B11" s="54" t="s">
        <v>419</v>
      </c>
      <c r="C11" s="54" t="s">
        <v>420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5"/>
      <c r="B12" s="54" t="s">
        <v>421</v>
      </c>
      <c r="C12" s="54" t="s">
        <v>422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54" t="s">
        <v>423</v>
      </c>
      <c r="B13" s="54" t="s">
        <v>424</v>
      </c>
      <c r="C13" s="54" t="s">
        <v>425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55"/>
      <c r="B14" s="54" t="s">
        <v>426</v>
      </c>
      <c r="C14" s="54" t="s">
        <v>427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5"/>
      <c r="B15" s="54" t="s">
        <v>428</v>
      </c>
      <c r="C15" s="54" t="s">
        <v>429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4" t="s">
        <v>430</v>
      </c>
      <c r="B16" s="54" t="s">
        <v>431</v>
      </c>
      <c r="C16" s="54" t="s">
        <v>432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2025-04-08T07:54:47Z</dcterms:created>
  <dc:creator>Yu-An Tsai</dc:creator>
</cp:coreProperties>
</file>